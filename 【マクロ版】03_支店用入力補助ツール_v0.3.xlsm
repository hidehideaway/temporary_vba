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mishima7077\Desktop\01_PJ\01_KMP\01_システム\03_構築\03_開発\02_入力補助ツール\"/>
    </mc:Choice>
  </mc:AlternateContent>
  <xr:revisionPtr revIDLastSave="0" documentId="13_ncr:1_{A1001CA9-C95A-4572-B278-0AE2E509569D}" xr6:coauthVersionLast="47" xr6:coauthVersionMax="47" xr10:uidLastSave="{00000000-0000-0000-0000-000000000000}"/>
  <workbookProtection workbookAlgorithmName="SHA-512" workbookHashValue="xdvnbumoZ0i6ssciLFoUU0QzOezFBC3G+AmJYMJEtpz1VMwEAwyusWTXUYBOVH5iphO7BZWOuKbekrV9SSBteA==" workbookSaltValue="IYlD2fdM+k9YxSDg9hBlOQ==" workbookSpinCount="100000" lockStructure="1"/>
  <bookViews>
    <workbookView xWindow="28680" yWindow="-120" windowWidth="29040" windowHeight="15840" xr2:uid="{00000000-000D-0000-FFFF-FFFF00000000}"/>
  </bookViews>
  <sheets>
    <sheet name="活動結果入力項目" sheetId="1" r:id="rId1"/>
    <sheet name="マスタ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AB14" i="2"/>
  <c r="AB13" i="2"/>
  <c r="AB12" i="2"/>
  <c r="AB11" i="2"/>
  <c r="AB10" i="2"/>
  <c r="AB9" i="2"/>
  <c r="AB8" i="2"/>
  <c r="AB7" i="2"/>
  <c r="AB6" i="2"/>
  <c r="AB5" i="2"/>
  <c r="AB4" i="2"/>
  <c r="AB3" i="2"/>
  <c r="AB2" i="2"/>
  <c r="Z14" i="2"/>
  <c r="Z13" i="2"/>
  <c r="Z12" i="2"/>
  <c r="Z11" i="2"/>
  <c r="Z10" i="2"/>
  <c r="Z9" i="2"/>
  <c r="Z8" i="2"/>
  <c r="Z7" i="2"/>
  <c r="Z6" i="2"/>
  <c r="Z5" i="2"/>
  <c r="Z4" i="2"/>
  <c r="Z3" i="2"/>
  <c r="Z2" i="2"/>
  <c r="X14" i="2"/>
  <c r="X13" i="2"/>
  <c r="X12" i="2"/>
  <c r="X11" i="2"/>
  <c r="X10" i="2"/>
  <c r="X9" i="2"/>
  <c r="X8" i="2"/>
  <c r="X7" i="2"/>
  <c r="X6" i="2"/>
  <c r="X5" i="2"/>
  <c r="X4" i="2"/>
  <c r="X3" i="2"/>
  <c r="X2" i="2"/>
  <c r="V14" i="2"/>
  <c r="V13" i="2"/>
  <c r="V12" i="2"/>
  <c r="V11" i="2"/>
  <c r="V10" i="2"/>
  <c r="V9" i="2"/>
  <c r="V8" i="2"/>
  <c r="V7" i="2"/>
  <c r="V6" i="2"/>
  <c r="V5" i="2"/>
  <c r="V4" i="2"/>
  <c r="V3" i="2"/>
  <c r="V2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D4" i="2"/>
  <c r="D5" i="2"/>
  <c r="D6" i="2"/>
  <c r="D7" i="2"/>
  <c r="D8" i="2"/>
  <c r="D9" i="2"/>
  <c r="D10" i="2"/>
  <c r="D11" i="2"/>
  <c r="D12" i="2"/>
  <c r="D13" i="2"/>
  <c r="D14" i="2"/>
  <c r="D3" i="2"/>
  <c r="D2" i="2"/>
  <c r="B3" i="2"/>
  <c r="B2" i="2"/>
  <c r="H4" i="1" l="1"/>
  <c r="B4" i="1" l="1"/>
  <c r="B16" i="1"/>
  <c r="H5" i="1"/>
  <c r="H19" i="1" s="1"/>
  <c r="B13" i="1"/>
  <c r="B15" i="1" l="1"/>
  <c r="B20" i="1" l="1"/>
  <c r="B21" i="1"/>
  <c r="B7" i="1"/>
  <c r="B26" i="1" l="1"/>
  <c r="B25" i="1"/>
  <c r="B24" i="1"/>
  <c r="B23" i="1"/>
  <c r="B22" i="1"/>
  <c r="B3" i="1" l="1"/>
  <c r="B11" i="1"/>
  <c r="B9" i="1"/>
  <c r="B14" i="1"/>
  <c r="B12" i="1" l="1"/>
  <c r="B6" i="1" l="1"/>
  <c r="B10" i="1"/>
  <c r="B5" i="1"/>
  <c r="B8" i="1"/>
</calcChain>
</file>

<file path=xl/sharedStrings.xml><?xml version="1.0" encoding="utf-8"?>
<sst xmlns="http://schemas.openxmlformats.org/spreadsheetml/2006/main" count="180" uniqueCount="125">
  <si>
    <t>#</t>
    <phoneticPr fontId="1"/>
  </si>
  <si>
    <t>質問区分</t>
    <rPh sb="0" eb="2">
      <t>シツモン</t>
    </rPh>
    <rPh sb="2" eb="4">
      <t>クブン</t>
    </rPh>
    <phoneticPr fontId="1"/>
  </si>
  <si>
    <t>質問事項</t>
    <rPh sb="0" eb="4">
      <t>シツモンジコウ</t>
    </rPh>
    <phoneticPr fontId="1"/>
  </si>
  <si>
    <t>選択項目</t>
    <rPh sb="0" eb="2">
      <t>センタク</t>
    </rPh>
    <rPh sb="2" eb="4">
      <t>コウモク</t>
    </rPh>
    <phoneticPr fontId="1"/>
  </si>
  <si>
    <t>項目名</t>
    <rPh sb="0" eb="3">
      <t>コウモクメイ</t>
    </rPh>
    <phoneticPr fontId="1"/>
  </si>
  <si>
    <t>値</t>
    <rPh sb="0" eb="1">
      <t>アタイ</t>
    </rPh>
    <phoneticPr fontId="1"/>
  </si>
  <si>
    <t>活動結果コード</t>
    <rPh sb="0" eb="4">
      <t>カツドウケッカ</t>
    </rPh>
    <phoneticPr fontId="1"/>
  </si>
  <si>
    <t>携帯番号</t>
    <rPh sb="0" eb="4">
      <t>ケイタイバンゴウ</t>
    </rPh>
    <phoneticPr fontId="1"/>
  </si>
  <si>
    <t>住所</t>
    <rPh sb="0" eb="2">
      <t>ジュウショ</t>
    </rPh>
    <phoneticPr fontId="1"/>
  </si>
  <si>
    <t>取得した住所を入力してください - 都道府県</t>
    <rPh sb="0" eb="2">
      <t>シュトク</t>
    </rPh>
    <rPh sb="4" eb="6">
      <t>ジュウショ</t>
    </rPh>
    <rPh sb="7" eb="9">
      <t>ニュウリョク</t>
    </rPh>
    <rPh sb="18" eb="22">
      <t>トドウフケン</t>
    </rPh>
    <phoneticPr fontId="1"/>
  </si>
  <si>
    <t>取得した住所を入力してください - 市区町村</t>
    <rPh sb="0" eb="2">
      <t>シュトク</t>
    </rPh>
    <rPh sb="4" eb="6">
      <t>ジュウショ</t>
    </rPh>
    <rPh sb="7" eb="9">
      <t>ニュウリョク</t>
    </rPh>
    <rPh sb="18" eb="22">
      <t>シクチョウソン</t>
    </rPh>
    <phoneticPr fontId="1"/>
  </si>
  <si>
    <t>取得した住所を入力してください - 町名・大字</t>
    <rPh sb="0" eb="2">
      <t>シュトク</t>
    </rPh>
    <rPh sb="4" eb="6">
      <t>ジュウショ</t>
    </rPh>
    <rPh sb="7" eb="9">
      <t>ニュウリョク</t>
    </rPh>
    <rPh sb="18" eb="20">
      <t>チョウメイ</t>
    </rPh>
    <rPh sb="21" eb="23">
      <t>オオアザ</t>
    </rPh>
    <phoneticPr fontId="1"/>
  </si>
  <si>
    <t>取得した住所を入力してください - 丁番号</t>
    <rPh sb="0" eb="2">
      <t>シュトク</t>
    </rPh>
    <rPh sb="4" eb="6">
      <t>ジュウショ</t>
    </rPh>
    <rPh sb="7" eb="9">
      <t>ニュウリョク</t>
    </rPh>
    <rPh sb="18" eb="20">
      <t>チョウバン</t>
    </rPh>
    <rPh sb="20" eb="21">
      <t>ゴウ</t>
    </rPh>
    <phoneticPr fontId="1"/>
  </si>
  <si>
    <t>情報区分</t>
    <rPh sb="0" eb="4">
      <t>ジョウホウクブン</t>
    </rPh>
    <phoneticPr fontId="1"/>
  </si>
  <si>
    <t>入力値</t>
    <rPh sb="0" eb="3">
      <t>ニュウリョクチ</t>
    </rPh>
    <phoneticPr fontId="1"/>
  </si>
  <si>
    <t>どの方法で接触しましたか？</t>
    <rPh sb="2" eb="4">
      <t>ホウホウ</t>
    </rPh>
    <rPh sb="5" eb="7">
      <t>セッショク</t>
    </rPh>
    <phoneticPr fontId="1"/>
  </si>
  <si>
    <t>どなたと接触しましたか？</t>
    <rPh sb="4" eb="6">
      <t>セッショク</t>
    </rPh>
    <phoneticPr fontId="1"/>
  </si>
  <si>
    <t>0.接触していない</t>
  </si>
  <si>
    <t>0.電話</t>
    <rPh sb="2" eb="4">
      <t>デンワ</t>
    </rPh>
    <phoneticPr fontId="1"/>
  </si>
  <si>
    <t>　</t>
    <phoneticPr fontId="1"/>
  </si>
  <si>
    <t>0.在宅</t>
    <rPh sb="2" eb="4">
      <t>ザイタク</t>
    </rPh>
    <phoneticPr fontId="1"/>
  </si>
  <si>
    <t>1.一時不在</t>
    <rPh sb="2" eb="6">
      <t>イチジフザイ</t>
    </rPh>
    <phoneticPr fontId="1"/>
  </si>
  <si>
    <t>2.再訪問</t>
    <rPh sb="2" eb="5">
      <t>サイホウモン</t>
    </rPh>
    <phoneticPr fontId="1"/>
  </si>
  <si>
    <t>他_接触対象</t>
    <rPh sb="0" eb="1">
      <t>ホカ</t>
    </rPh>
    <rPh sb="2" eb="6">
      <t>セッショクタイショウ</t>
    </rPh>
    <phoneticPr fontId="1"/>
  </si>
  <si>
    <t>他_接触方法</t>
    <rPh sb="0" eb="1">
      <t>ホカ</t>
    </rPh>
    <rPh sb="2" eb="6">
      <t>セッショクホウホウ</t>
    </rPh>
    <phoneticPr fontId="1"/>
  </si>
  <si>
    <t>接_コンタクトライン取得状況</t>
    <rPh sb="0" eb="1">
      <t>セツ</t>
    </rPh>
    <rPh sb="10" eb="12">
      <t>シュトク</t>
    </rPh>
    <rPh sb="12" eb="14">
      <t>ジョウキョウ</t>
    </rPh>
    <phoneticPr fontId="1"/>
  </si>
  <si>
    <t>不_居住状況</t>
    <rPh sb="0" eb="1">
      <t>フ</t>
    </rPh>
    <rPh sb="2" eb="6">
      <t>キョジュウジョウキョウ</t>
    </rPh>
    <phoneticPr fontId="1"/>
  </si>
  <si>
    <t>0.接触できた</t>
    <rPh sb="2" eb="4">
      <t>セッショク</t>
    </rPh>
    <phoneticPr fontId="1"/>
  </si>
  <si>
    <t>0.問題あり</t>
    <rPh sb="2" eb="4">
      <t>モンダイ</t>
    </rPh>
    <phoneticPr fontId="1"/>
  </si>
  <si>
    <t>0.家族登録可</t>
    <rPh sb="2" eb="6">
      <t>カゾクトウロク</t>
    </rPh>
    <rPh sb="6" eb="7">
      <t>カ</t>
    </rPh>
    <phoneticPr fontId="1"/>
  </si>
  <si>
    <t>0.その場で手続き</t>
    <rPh sb="4" eb="5">
      <t>バ</t>
    </rPh>
    <rPh sb="6" eb="8">
      <t>テツヅ</t>
    </rPh>
    <phoneticPr fontId="1"/>
  </si>
  <si>
    <t>0.本人と家族</t>
    <rPh sb="2" eb="4">
      <t>ホンニン</t>
    </rPh>
    <rPh sb="5" eb="7">
      <t>カゾク</t>
    </rPh>
    <phoneticPr fontId="1"/>
  </si>
  <si>
    <t>0.家がない</t>
    <rPh sb="2" eb="3">
      <t>イエ</t>
    </rPh>
    <phoneticPr fontId="1"/>
  </si>
  <si>
    <t>1.接触できなかった</t>
    <rPh sb="2" eb="4">
      <t>セッショク</t>
    </rPh>
    <phoneticPr fontId="1"/>
  </si>
  <si>
    <t>1.訪問</t>
    <rPh sb="2" eb="4">
      <t>ホウモン</t>
    </rPh>
    <phoneticPr fontId="1"/>
  </si>
  <si>
    <t>1.問題なし</t>
    <rPh sb="2" eb="4">
      <t>モンダイ</t>
    </rPh>
    <phoneticPr fontId="1"/>
  </si>
  <si>
    <t>1.家族登録不可</t>
    <rPh sb="2" eb="6">
      <t>カゾクトウロク</t>
    </rPh>
    <rPh sb="6" eb="8">
      <t>フカ</t>
    </rPh>
    <phoneticPr fontId="1"/>
  </si>
  <si>
    <t>1.郵送キット返送予定</t>
    <rPh sb="2" eb="4">
      <t>ユウソウ</t>
    </rPh>
    <rPh sb="7" eb="9">
      <t>ヘンソウ</t>
    </rPh>
    <rPh sb="9" eb="11">
      <t>ヨテイ</t>
    </rPh>
    <phoneticPr fontId="1"/>
  </si>
  <si>
    <t>1.本人のみ</t>
    <rPh sb="2" eb="4">
      <t>ホンニン</t>
    </rPh>
    <phoneticPr fontId="1"/>
  </si>
  <si>
    <t>1.生活感が確実にない</t>
    <rPh sb="2" eb="4">
      <t>セイカツ</t>
    </rPh>
    <rPh sb="4" eb="5">
      <t>カン</t>
    </rPh>
    <rPh sb="6" eb="8">
      <t>カクジツ</t>
    </rPh>
    <phoneticPr fontId="1"/>
  </si>
  <si>
    <t>2.施設入居</t>
    <rPh sb="2" eb="6">
      <t>シセツニュウキョ</t>
    </rPh>
    <phoneticPr fontId="1"/>
  </si>
  <si>
    <t>2.郵送キット再送希望</t>
    <rPh sb="2" eb="4">
      <t>ユウソウ</t>
    </rPh>
    <rPh sb="7" eb="11">
      <t>サイソウキボウ</t>
    </rPh>
    <phoneticPr fontId="1"/>
  </si>
  <si>
    <t>2.家族のみ</t>
    <rPh sb="2" eb="4">
      <t>カゾク</t>
    </rPh>
    <phoneticPr fontId="1"/>
  </si>
  <si>
    <t>2.生活感はある</t>
    <rPh sb="2" eb="4">
      <t>セイカツ</t>
    </rPh>
    <rPh sb="4" eb="5">
      <t>カン</t>
    </rPh>
    <phoneticPr fontId="1"/>
  </si>
  <si>
    <t>3.入院</t>
    <rPh sb="2" eb="4">
      <t>ニュウイン</t>
    </rPh>
    <phoneticPr fontId="1"/>
  </si>
  <si>
    <t>3.来局にて手続き</t>
    <rPh sb="2" eb="4">
      <t>ライキョク</t>
    </rPh>
    <rPh sb="6" eb="8">
      <t>テツヅ</t>
    </rPh>
    <phoneticPr fontId="1"/>
  </si>
  <si>
    <t>3.取得不可</t>
    <rPh sb="2" eb="4">
      <t>シュトク</t>
    </rPh>
    <rPh sb="4" eb="6">
      <t>フカ</t>
    </rPh>
    <phoneticPr fontId="1"/>
  </si>
  <si>
    <t>3.生活感は不明</t>
    <rPh sb="2" eb="5">
      <t>セイカツカン</t>
    </rPh>
    <rPh sb="6" eb="8">
      <t>フメイ</t>
    </rPh>
    <phoneticPr fontId="1"/>
  </si>
  <si>
    <t>4.死亡</t>
    <rPh sb="2" eb="4">
      <t>シボウ</t>
    </rPh>
    <phoneticPr fontId="1"/>
  </si>
  <si>
    <t>4.訪問して手続き</t>
    <rPh sb="2" eb="4">
      <t>ホウモン</t>
    </rPh>
    <rPh sb="6" eb="8">
      <t>テツヅ</t>
    </rPh>
    <phoneticPr fontId="1"/>
  </si>
  <si>
    <t>5.電話での手続き不可</t>
    <rPh sb="2" eb="4">
      <t>デンワ</t>
    </rPh>
    <rPh sb="6" eb="8">
      <t>テツヅ</t>
    </rPh>
    <rPh sb="9" eb="11">
      <t>フカ</t>
    </rPh>
    <phoneticPr fontId="1"/>
  </si>
  <si>
    <t>5.CCへの架電</t>
    <rPh sb="6" eb="8">
      <t>カデン</t>
    </rPh>
    <phoneticPr fontId="1"/>
  </si>
  <si>
    <t>6.拒否</t>
    <rPh sb="2" eb="4">
      <t>キョヒ</t>
    </rPh>
    <phoneticPr fontId="1"/>
  </si>
  <si>
    <t>続柄</t>
    <rPh sb="0" eb="2">
      <t>ゾクガラ</t>
    </rPh>
    <phoneticPr fontId="1"/>
  </si>
  <si>
    <t>被保険者_STS</t>
    <rPh sb="0" eb="4">
      <t>ヒホケンシャ</t>
    </rPh>
    <phoneticPr fontId="1"/>
  </si>
  <si>
    <t>請求勧奨</t>
    <rPh sb="0" eb="4">
      <t>セイキュウカンショウ</t>
    </rPh>
    <phoneticPr fontId="1"/>
  </si>
  <si>
    <t>死亡保険金の請求はありましたか？</t>
    <rPh sb="0" eb="5">
      <t>シボウホケンキン</t>
    </rPh>
    <rPh sb="6" eb="8">
      <t>セイキュウ</t>
    </rPh>
    <phoneticPr fontId="1"/>
  </si>
  <si>
    <t>入力事項</t>
    <rPh sb="0" eb="4">
      <t>ニュウリョクジコウ</t>
    </rPh>
    <phoneticPr fontId="1"/>
  </si>
  <si>
    <t>0.生存</t>
    <rPh sb="2" eb="4">
      <t>セイゾン</t>
    </rPh>
    <phoneticPr fontId="1"/>
  </si>
  <si>
    <t>1.死亡_請求意思あり</t>
    <rPh sb="2" eb="4">
      <t>シボウ</t>
    </rPh>
    <rPh sb="5" eb="9">
      <t>セイキュウイシ</t>
    </rPh>
    <phoneticPr fontId="1"/>
  </si>
  <si>
    <t>2.死亡_請求意思なし(請求不能)</t>
    <rPh sb="2" eb="4">
      <t>シボウ</t>
    </rPh>
    <rPh sb="5" eb="7">
      <t>セイキュウ</t>
    </rPh>
    <rPh sb="7" eb="9">
      <t>イシ</t>
    </rPh>
    <rPh sb="12" eb="16">
      <t>セイキュウフノウ</t>
    </rPh>
    <phoneticPr fontId="1"/>
  </si>
  <si>
    <t>3.死亡_請求意思なし(請求が面倒)</t>
    <rPh sb="2" eb="4">
      <t>シボウ</t>
    </rPh>
    <rPh sb="5" eb="9">
      <t>セイキュウイシ</t>
    </rPh>
    <rPh sb="12" eb="14">
      <t>セイキュウ</t>
    </rPh>
    <rPh sb="15" eb="17">
      <t>メンドウ</t>
    </rPh>
    <phoneticPr fontId="1"/>
  </si>
  <si>
    <t>4.死亡_請求意思なし(相続トラブルあり)</t>
    <rPh sb="2" eb="4">
      <t>シボウ</t>
    </rPh>
    <rPh sb="5" eb="9">
      <t>セイキュウイシ</t>
    </rPh>
    <rPh sb="12" eb="14">
      <t>ソウゾク</t>
    </rPh>
    <phoneticPr fontId="1"/>
  </si>
  <si>
    <t>5.死亡_請求意思なし(金額少額)</t>
    <rPh sb="2" eb="4">
      <t>シボウ</t>
    </rPh>
    <rPh sb="5" eb="9">
      <t>セイキュウイシ</t>
    </rPh>
    <rPh sb="12" eb="16">
      <t>キンガクショウガク</t>
    </rPh>
    <phoneticPr fontId="1"/>
  </si>
  <si>
    <t>6.死亡_請求意思なし(その他)</t>
    <rPh sb="2" eb="4">
      <t>シボウ</t>
    </rPh>
    <rPh sb="5" eb="9">
      <t>セイキュウイシ</t>
    </rPh>
    <rPh sb="14" eb="15">
      <t>タ</t>
    </rPh>
    <phoneticPr fontId="1"/>
  </si>
  <si>
    <t>東京都</t>
    <rPh sb="0" eb="3">
      <t>トウキョウト</t>
    </rPh>
    <phoneticPr fontId="1"/>
  </si>
  <si>
    <t>取得した住所を入力してください - 建物名・部屋番号</t>
    <rPh sb="0" eb="2">
      <t>シュトク</t>
    </rPh>
    <rPh sb="4" eb="6">
      <t>ジュウショ</t>
    </rPh>
    <rPh sb="7" eb="9">
      <t>ニュウリョク</t>
    </rPh>
    <rPh sb="18" eb="21">
      <t>タテモノメイ</t>
    </rPh>
    <rPh sb="22" eb="24">
      <t>ヘヤ</t>
    </rPh>
    <rPh sb="24" eb="26">
      <t>バンゴウ</t>
    </rPh>
    <phoneticPr fontId="1"/>
  </si>
  <si>
    <t>1.被保険者</t>
    <rPh sb="2" eb="6">
      <t>ヒホケンシャ</t>
    </rPh>
    <phoneticPr fontId="1"/>
  </si>
  <si>
    <t>その他</t>
    <rPh sb="2" eb="3">
      <t>タ</t>
    </rPh>
    <phoneticPr fontId="1"/>
  </si>
  <si>
    <t>接触困難な事由がありますか？</t>
    <rPh sb="0" eb="2">
      <t>セッショク</t>
    </rPh>
    <rPh sb="2" eb="4">
      <t>コンナン</t>
    </rPh>
    <rPh sb="5" eb="7">
      <t>ジユウ</t>
    </rPh>
    <phoneticPr fontId="1"/>
  </si>
  <si>
    <t>その他_接触困難自由</t>
    <rPh sb="2" eb="3">
      <t>タ</t>
    </rPh>
    <rPh sb="4" eb="8">
      <t>セッショクコンナン</t>
    </rPh>
    <rPh sb="8" eb="10">
      <t>ジユウ</t>
    </rPh>
    <phoneticPr fontId="1"/>
  </si>
  <si>
    <t>0.なし</t>
    <phoneticPr fontId="1"/>
  </si>
  <si>
    <t>1.あり</t>
    <phoneticPr fontId="1"/>
  </si>
  <si>
    <t>共通</t>
    <rPh sb="0" eb="2">
      <t>キョウツウ</t>
    </rPh>
    <phoneticPr fontId="1"/>
  </si>
  <si>
    <t>(#6で「0.はい」を選択した場合のみ)どのようにご家族登録を希望されていましたか？</t>
    <rPh sb="11" eb="13">
      <t>センタク</t>
    </rPh>
    <rPh sb="15" eb="17">
      <t>バアイ</t>
    </rPh>
    <rPh sb="26" eb="30">
      <t>カゾクトウロク</t>
    </rPh>
    <rPh sb="31" eb="33">
      <t>キボウ</t>
    </rPh>
    <phoneticPr fontId="1"/>
  </si>
  <si>
    <t>活動対象</t>
    <rPh sb="0" eb="4">
      <t>カツドウタイショウ</t>
    </rPh>
    <phoneticPr fontId="1"/>
  </si>
  <si>
    <t>0.契約者</t>
    <rPh sb="2" eb="5">
      <t>ケイヤクシャ</t>
    </rPh>
    <phoneticPr fontId="1"/>
  </si>
  <si>
    <t>契被_接触可否</t>
    <rPh sb="3" eb="7">
      <t>セッショクカヒ</t>
    </rPh>
    <phoneticPr fontId="1"/>
  </si>
  <si>
    <t>契被_接触方法</t>
    <rPh sb="3" eb="7">
      <t>セッショクホウホウ</t>
    </rPh>
    <phoneticPr fontId="1"/>
  </si>
  <si>
    <t>契被_意思能力</t>
    <rPh sb="3" eb="7">
      <t>イシノウリョク</t>
    </rPh>
    <phoneticPr fontId="1"/>
  </si>
  <si>
    <t>契被_状態</t>
    <rPh sb="3" eb="5">
      <t>ジョウタイ</t>
    </rPh>
    <phoneticPr fontId="1"/>
  </si>
  <si>
    <t>契/被保本人</t>
    <phoneticPr fontId="1"/>
  </si>
  <si>
    <t>契/被保本人と接触できましたか？</t>
    <rPh sb="4" eb="6">
      <t>ホンニン</t>
    </rPh>
    <rPh sb="7" eb="9">
      <t>セッショク</t>
    </rPh>
    <phoneticPr fontId="1"/>
  </si>
  <si>
    <t>携帯番号(契/被保以外)</t>
    <rPh sb="0" eb="4">
      <t>ケイタイバンゴウ</t>
    </rPh>
    <rPh sb="9" eb="11">
      <t>イガイ</t>
    </rPh>
    <phoneticPr fontId="1"/>
  </si>
  <si>
    <t>契/被保本人</t>
    <rPh sb="4" eb="6">
      <t>ホンニン</t>
    </rPh>
    <phoneticPr fontId="1"/>
  </si>
  <si>
    <t>契/被保以外</t>
    <phoneticPr fontId="1"/>
  </si>
  <si>
    <t>(#2で「0.接触できた」を選択した場合)どの方法で接触しましたか？</t>
    <rPh sb="7" eb="9">
      <t>セッショク</t>
    </rPh>
    <rPh sb="14" eb="16">
      <t>センタク</t>
    </rPh>
    <rPh sb="18" eb="20">
      <t>バアイ</t>
    </rPh>
    <rPh sb="23" eb="25">
      <t>ホウホウ</t>
    </rPh>
    <rPh sb="26" eb="28">
      <t>セッショク</t>
    </rPh>
    <phoneticPr fontId="1"/>
  </si>
  <si>
    <t>(#2で「0.接触できた」を選択した場合)契/被保本人の意思能力に問題はありませんでしたか？</t>
    <rPh sb="7" eb="9">
      <t>セッショク</t>
    </rPh>
    <rPh sb="14" eb="16">
      <t>センタク</t>
    </rPh>
    <rPh sb="18" eb="20">
      <t>バアイ</t>
    </rPh>
    <rPh sb="28" eb="32">
      <t>イシノウリョク</t>
    </rPh>
    <rPh sb="33" eb="35">
      <t>モンダイ</t>
    </rPh>
    <phoneticPr fontId="1"/>
  </si>
  <si>
    <t>契/被保本人の電話番号は取得できましたか？</t>
    <phoneticPr fontId="1"/>
  </si>
  <si>
    <t>(#2で「1.接触できなかった」を選択した場合)契/被保本人の状態について選択してください</t>
    <rPh sb="28" eb="30">
      <t>ホンニン</t>
    </rPh>
    <rPh sb="31" eb="33">
      <t>ジョウタイ</t>
    </rPh>
    <rPh sb="37" eb="39">
      <t>センタク</t>
    </rPh>
    <phoneticPr fontId="1"/>
  </si>
  <si>
    <t>契被_携帯番号</t>
    <rPh sb="3" eb="7">
      <t>ケイタイバンゴウ</t>
    </rPh>
    <phoneticPr fontId="1"/>
  </si>
  <si>
    <t>0.取得できた</t>
    <rPh sb="2" eb="4">
      <t>シュトク</t>
    </rPh>
    <phoneticPr fontId="1"/>
  </si>
  <si>
    <t>1.取得できなかった</t>
    <rPh sb="2" eb="4">
      <t>シュトク</t>
    </rPh>
    <phoneticPr fontId="1"/>
  </si>
  <si>
    <t>契被_家族登録可否</t>
    <rPh sb="0" eb="1">
      <t>チギリ</t>
    </rPh>
    <rPh sb="1" eb="2">
      <t>カブ</t>
    </rPh>
    <rPh sb="3" eb="7">
      <t>カゾクトウロク</t>
    </rPh>
    <rPh sb="7" eb="9">
      <t>カヒ</t>
    </rPh>
    <phoneticPr fontId="1"/>
  </si>
  <si>
    <t>共通_家族登録方法</t>
    <rPh sb="0" eb="2">
      <t>キョウツウ</t>
    </rPh>
    <rPh sb="3" eb="7">
      <t>カゾクトウロク</t>
    </rPh>
    <rPh sb="7" eb="9">
      <t>ホウホウ</t>
    </rPh>
    <phoneticPr fontId="1"/>
  </si>
  <si>
    <t>1.配偶者</t>
    <phoneticPr fontId="1"/>
  </si>
  <si>
    <t>2.子供/孫</t>
    <phoneticPr fontId="1"/>
  </si>
  <si>
    <t>3.その他親族</t>
    <phoneticPr fontId="1"/>
  </si>
  <si>
    <t>4.介護施設等の職員</t>
    <phoneticPr fontId="1"/>
  </si>
  <si>
    <t>活動対象者は契約者、被保険者のどちらですか？</t>
    <rPh sb="0" eb="5">
      <t>カツドウタイショウシャ</t>
    </rPh>
    <rPh sb="6" eb="9">
      <t>ケイヤクシャ</t>
    </rPh>
    <rPh sb="10" eb="14">
      <t>ヒホケンシャ</t>
    </rPh>
    <phoneticPr fontId="1"/>
  </si>
  <si>
    <t>(#2で「0.接触できた」または#6で「0.はい」を選択した場合のみ)コミュニケーションラインは取得できましたか？</t>
    <rPh sb="7" eb="9">
      <t>セッショク</t>
    </rPh>
    <rPh sb="26" eb="28">
      <t>センタク</t>
    </rPh>
    <rPh sb="30" eb="32">
      <t>バアイ</t>
    </rPh>
    <rPh sb="48" eb="50">
      <t>シュトク</t>
    </rPh>
    <phoneticPr fontId="1"/>
  </si>
  <si>
    <t>千代田区</t>
    <rPh sb="0" eb="4">
      <t>チヨダク</t>
    </rPh>
    <phoneticPr fontId="1"/>
  </si>
  <si>
    <t>大手町</t>
    <rPh sb="0" eb="3">
      <t>オオテマチ</t>
    </rPh>
    <phoneticPr fontId="1"/>
  </si>
  <si>
    <t>2-3-1</t>
    <phoneticPr fontId="1"/>
  </si>
  <si>
    <t>大手町プレイスウエストタワー・11F</t>
    <rPh sb="0" eb="3">
      <t>オオテマチ</t>
    </rPh>
    <phoneticPr fontId="1"/>
  </si>
  <si>
    <t>住所(契/被保以外)</t>
    <rPh sb="0" eb="2">
      <t>ジュウショ</t>
    </rPh>
    <rPh sb="3" eb="4">
      <t>チギリ</t>
    </rPh>
    <rPh sb="5" eb="6">
      <t>ヒ</t>
    </rPh>
    <rPh sb="6" eb="7">
      <t>ホ</t>
    </rPh>
    <rPh sb="7" eb="9">
      <t>イガイ</t>
    </rPh>
    <phoneticPr fontId="1"/>
  </si>
  <si>
    <t>コピー元</t>
    <phoneticPr fontId="1"/>
  </si>
  <si>
    <t>ご家族登録は可能でしたか？</t>
    <rPh sb="1" eb="5">
      <t>カゾクトウロク</t>
    </rPh>
    <rPh sb="6" eb="8">
      <t>カノウ</t>
    </rPh>
    <phoneticPr fontId="1"/>
  </si>
  <si>
    <t xml:space="preserve"> </t>
    <phoneticPr fontId="1"/>
  </si>
  <si>
    <t>【確認用】活動結果テーブル</t>
    <rPh sb="1" eb="3">
      <t>カクニン</t>
    </rPh>
    <rPh sb="3" eb="4">
      <t>ヨウ</t>
    </rPh>
    <rPh sb="5" eb="9">
      <t>カツドウケッカ</t>
    </rPh>
    <phoneticPr fontId="1"/>
  </si>
  <si>
    <t>取得した携帯電話番号を入力してください</t>
    <rPh sb="0" eb="2">
      <t>シュトク</t>
    </rPh>
    <rPh sb="4" eb="6">
      <t>ケイタイ</t>
    </rPh>
    <rPh sb="6" eb="8">
      <t>デンワ</t>
    </rPh>
    <rPh sb="8" eb="10">
      <t>バンゴウ</t>
    </rPh>
    <rPh sb="11" eb="13">
      <t>ニュウリョク</t>
    </rPh>
    <phoneticPr fontId="1"/>
  </si>
  <si>
    <t>契/被保本人との続柄</t>
    <rPh sb="0" eb="1">
      <t>チギリ</t>
    </rPh>
    <rPh sb="2" eb="3">
      <t>ヒ</t>
    </rPh>
    <rPh sb="3" eb="4">
      <t>ホ</t>
    </rPh>
    <rPh sb="4" eb="6">
      <t>ホンニン</t>
    </rPh>
    <rPh sb="8" eb="10">
      <t>ゾクガラ</t>
    </rPh>
    <phoneticPr fontId="1"/>
  </si>
  <si>
    <t>(#1で「1.接触できなかった」かつ#8で「0.接触していない」を選択した場合)訪問先住所の居住状況について選択してください</t>
    <rPh sb="7" eb="9">
      <t>セッショク</t>
    </rPh>
    <rPh sb="24" eb="26">
      <t>セッショク</t>
    </rPh>
    <rPh sb="33" eb="35">
      <t>センタク</t>
    </rPh>
    <rPh sb="37" eb="39">
      <t>バアイ</t>
    </rPh>
    <rPh sb="40" eb="42">
      <t>ホウモン</t>
    </rPh>
    <rPh sb="42" eb="43">
      <t>サキ</t>
    </rPh>
    <rPh sb="43" eb="45">
      <t>ジュウショ</t>
    </rPh>
    <rPh sb="46" eb="50">
      <t>キョジュウジョウキョウ</t>
    </rPh>
    <rPh sb="54" eb="56">
      <t>センタク</t>
    </rPh>
    <phoneticPr fontId="1"/>
  </si>
  <si>
    <t>【必須入力】活動結果入力項目</t>
    <rPh sb="1" eb="3">
      <t>ヒッス</t>
    </rPh>
    <rPh sb="3" eb="5">
      <t>ニュウリョク</t>
    </rPh>
    <rPh sb="6" eb="14">
      <t>カツドウケッカニュウリョクコウモク</t>
    </rPh>
    <phoneticPr fontId="1"/>
  </si>
  <si>
    <t>【任意入力】コミュニケーションライン</t>
    <rPh sb="1" eb="3">
      <t>ニンイ</t>
    </rPh>
    <rPh sb="3" eb="5">
      <t>ニュウリョク</t>
    </rPh>
    <phoneticPr fontId="1"/>
  </si>
  <si>
    <t>5.法定代理人</t>
    <rPh sb="2" eb="7">
      <t>ホウテイダイリニン</t>
    </rPh>
    <phoneticPr fontId="1"/>
  </si>
  <si>
    <t>6.他同居人</t>
    <rPh sb="2" eb="6">
      <t>タドウキョニン</t>
    </rPh>
    <phoneticPr fontId="1"/>
  </si>
  <si>
    <t>7.他人</t>
    <rPh sb="2" eb="4">
      <t>タニン</t>
    </rPh>
    <phoneticPr fontId="1"/>
  </si>
  <si>
    <t>【コピー用】Excel「活動結果」への入力</t>
    <rPh sb="4" eb="5">
      <t>ヨウ</t>
    </rPh>
    <rPh sb="12" eb="16">
      <t>カツドウケッカ</t>
    </rPh>
    <phoneticPr fontId="1"/>
  </si>
  <si>
    <t>0.電話</t>
  </si>
  <si>
    <t>-</t>
  </si>
  <si>
    <t>1.問題なし</t>
  </si>
  <si>
    <t>0.なし</t>
  </si>
  <si>
    <t>08012345678</t>
    <phoneticPr fontId="1"/>
  </si>
  <si>
    <t>0.在宅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</si>
</sst>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0000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theme="1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u/>
      <sz val="12"/>
      <color theme="1"/>
      <name val="BIZ UDPゴシック"/>
      <family val="3"/>
      <charset val="128"/>
    </font>
    <font>
      <b/>
      <sz val="12"/>
      <color theme="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4098"/>
        <bgColor indexed="64"/>
      </patternFill>
    </fill>
    <fill>
      <patternFill patternType="solid">
        <fgColor rgb="FFF06A43"/>
        <bgColor indexed="64"/>
      </patternFill>
    </fill>
    <fill>
      <gradientFill degree="90">
        <stop position="0">
          <color theme="0"/>
        </stop>
        <stop position="1">
          <color theme="5" tint="0.80001220740379042"/>
        </stop>
      </gradientFill>
    </fill>
    <fill>
      <gradientFill type="path">
        <stop position="0">
          <color theme="0"/>
        </stop>
        <stop position="1">
          <color theme="4" tint="0.80001220740379042"/>
        </stop>
      </gradientFill>
    </fill>
    <fill>
      <gradientFill type="path">
        <stop position="0">
          <color theme="0"/>
        </stop>
        <stop position="1">
          <color theme="6" tint="0.80001220740379042"/>
        </stop>
      </gradient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4" xfId="0" applyFont="1" applyBorder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3" fillId="0" borderId="5" xfId="0" applyFont="1" applyBorder="1">
      <alignment vertical="center"/>
    </xf>
    <xf numFmtId="0" fontId="3" fillId="0" borderId="2" xfId="0" applyFont="1" applyBorder="1">
      <alignment vertical="center"/>
    </xf>
    <xf numFmtId="0" fontId="3" fillId="9" borderId="4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176" fontId="3" fillId="10" borderId="5" xfId="0" applyNumberFormat="1" applyFont="1" applyFill="1" applyBorder="1" applyAlignment="1">
      <alignment horizontal="left" vertical="center"/>
    </xf>
    <xf numFmtId="176" fontId="3" fillId="10" borderId="2" xfId="0" applyNumberFormat="1" applyFont="1" applyFill="1" applyBorder="1" applyAlignment="1">
      <alignment horizontal="left" vertical="center"/>
    </xf>
    <xf numFmtId="49" fontId="3" fillId="10" borderId="2" xfId="0" applyNumberFormat="1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11" borderId="0" xfId="0" applyFont="1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0" fontId="6" fillId="6" borderId="0" xfId="0" applyFont="1" applyFill="1">
      <alignment vertical="center"/>
    </xf>
    <xf numFmtId="0" fontId="6" fillId="7" borderId="0" xfId="0" applyFont="1" applyFill="1">
      <alignment vertical="center"/>
    </xf>
    <xf numFmtId="0" fontId="7" fillId="7" borderId="0" xfId="0" applyFont="1" applyFill="1">
      <alignment vertical="center"/>
    </xf>
    <xf numFmtId="0" fontId="6" fillId="2" borderId="3" xfId="0" applyFont="1" applyFill="1" applyBorder="1">
      <alignment vertical="center"/>
    </xf>
    <xf numFmtId="0" fontId="6" fillId="5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FFCCFF"/>
      <color rgb="FFF06A43"/>
      <color rgb="FF0040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-1</xdr:colOff>
      <xdr:row>20</xdr:row>
      <xdr:rowOff>67381</xdr:rowOff>
    </xdr:from>
    <xdr:to>
      <xdr:col>8</xdr:col>
      <xdr:colOff>0</xdr:colOff>
      <xdr:row>26</xdr:row>
      <xdr:rowOff>0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1AFD5E9C-4401-788B-DF4A-D5BBD65196E6}"/>
            </a:ext>
          </a:extLst>
        </xdr:cNvPr>
        <xdr:cNvSpPr/>
      </xdr:nvSpPr>
      <xdr:spPr>
        <a:xfrm>
          <a:off x="13796210" y="6424065"/>
          <a:ext cx="4692316" cy="1797514"/>
        </a:xfrm>
        <a:prstGeom prst="wedgeRectCallout">
          <a:avLst>
            <a:gd name="adj1" fmla="val 13178"/>
            <a:gd name="adj2" fmla="val -62331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t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ja-JP" altLang="en-US" sz="1400" b="1">
              <a:solidFill>
                <a:schemeClr val="tx1">
                  <a:lumMod val="75000"/>
                  <a:lumOff val="2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コピー方法</a:t>
          </a:r>
          <a:endParaRPr kumimoji="1" lang="ja-JP" altLang="en-US" sz="1600" b="1">
            <a:solidFill>
              <a:schemeClr val="tx1">
                <a:lumMod val="75000"/>
                <a:lumOff val="25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964468</xdr:colOff>
      <xdr:row>20</xdr:row>
      <xdr:rowOff>270788</xdr:rowOff>
    </xdr:from>
    <xdr:to>
      <xdr:col>7</xdr:col>
      <xdr:colOff>3727846</xdr:colOff>
      <xdr:row>23</xdr:row>
      <xdr:rowOff>209313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F8BFE1B4-C4FD-EE1F-74AF-B8521CFF9555}"/>
            </a:ext>
          </a:extLst>
        </xdr:cNvPr>
        <xdr:cNvGrpSpPr/>
      </xdr:nvGrpSpPr>
      <xdr:grpSpPr>
        <a:xfrm>
          <a:off x="14754070" y="6667691"/>
          <a:ext cx="2763378" cy="880202"/>
          <a:chOff x="14384694" y="6477077"/>
          <a:chExt cx="2763378" cy="870973"/>
        </a:xfrm>
      </xdr:grpSpPr>
      <xdr:sp macro="" textlink="">
        <xdr:nvSpPr>
          <xdr:cNvPr id="3" name="四角形: 角を丸くする 2">
            <a:extLst>
              <a:ext uri="{FF2B5EF4-FFF2-40B4-BE49-F238E27FC236}">
                <a16:creationId xmlns:a16="http://schemas.microsoft.com/office/drawing/2014/main" id="{FBB8036B-BD3B-A6B6-A9CF-04131F75A7BD}"/>
              </a:ext>
            </a:extLst>
          </xdr:cNvPr>
          <xdr:cNvSpPr/>
        </xdr:nvSpPr>
        <xdr:spPr>
          <a:xfrm>
            <a:off x="15653988" y="6736151"/>
            <a:ext cx="435052" cy="394356"/>
          </a:xfrm>
          <a:prstGeom prst="roundRect">
            <a:avLst/>
          </a:prstGeom>
          <a:gradFill>
            <a:gsLst>
              <a:gs pos="0">
                <a:schemeClr val="bg1">
                  <a:lumMod val="85000"/>
                </a:schemeClr>
              </a:gs>
              <a:gs pos="91364">
                <a:schemeClr val="bg1">
                  <a:lumMod val="75000"/>
                </a:schemeClr>
              </a:gs>
              <a:gs pos="74000">
                <a:schemeClr val="bg1">
                  <a:lumMod val="65000"/>
                </a:schemeClr>
              </a:gs>
              <a:gs pos="83000">
                <a:schemeClr val="bg1">
                  <a:lumMod val="6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en-US" altLang="ja-JP" sz="1050">
                <a:solidFill>
                  <a:schemeClr val="tx1">
                    <a:lumMod val="75000"/>
                    <a:lumOff val="2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Ctrl</a:t>
            </a:r>
            <a:endParaRPr kumimoji="1" lang="ja-JP" altLang="en-US" sz="1050">
              <a:solidFill>
                <a:schemeClr val="tx1">
                  <a:lumMod val="75000"/>
                  <a:lumOff val="2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四角形: 角を丸くする 3">
            <a:extLst>
              <a:ext uri="{FF2B5EF4-FFF2-40B4-BE49-F238E27FC236}">
                <a16:creationId xmlns:a16="http://schemas.microsoft.com/office/drawing/2014/main" id="{7E7B8A17-4F73-1867-C4EE-41B5F274FA39}"/>
              </a:ext>
            </a:extLst>
          </xdr:cNvPr>
          <xdr:cNvSpPr/>
        </xdr:nvSpPr>
        <xdr:spPr>
          <a:xfrm>
            <a:off x="16713020" y="6736151"/>
            <a:ext cx="435052" cy="394356"/>
          </a:xfrm>
          <a:prstGeom prst="roundRect">
            <a:avLst/>
          </a:prstGeom>
          <a:gradFill>
            <a:gsLst>
              <a:gs pos="0">
                <a:schemeClr val="bg1">
                  <a:lumMod val="85000"/>
                </a:schemeClr>
              </a:gs>
              <a:gs pos="91364">
                <a:schemeClr val="bg1">
                  <a:lumMod val="75000"/>
                </a:schemeClr>
              </a:gs>
              <a:gs pos="74000">
                <a:schemeClr val="bg1">
                  <a:lumMod val="65000"/>
                </a:schemeClr>
              </a:gs>
              <a:gs pos="83000">
                <a:schemeClr val="bg1">
                  <a:lumMod val="6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en-US" altLang="ja-JP" sz="1050">
                <a:solidFill>
                  <a:schemeClr val="tx1">
                    <a:lumMod val="75000"/>
                    <a:lumOff val="2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</a:t>
            </a:r>
            <a:endParaRPr kumimoji="1" lang="ja-JP" altLang="en-US" sz="1050">
              <a:solidFill>
                <a:schemeClr val="tx1">
                  <a:lumMod val="75000"/>
                  <a:lumOff val="2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5" name="加算記号 4">
            <a:extLst>
              <a:ext uri="{FF2B5EF4-FFF2-40B4-BE49-F238E27FC236}">
                <a16:creationId xmlns:a16="http://schemas.microsoft.com/office/drawing/2014/main" id="{9DF84FDA-D351-6AE2-BA49-7AE403EDCD5B}"/>
              </a:ext>
            </a:extLst>
          </xdr:cNvPr>
          <xdr:cNvSpPr/>
        </xdr:nvSpPr>
        <xdr:spPr>
          <a:xfrm>
            <a:off x="16234840" y="6770806"/>
            <a:ext cx="332378" cy="325047"/>
          </a:xfrm>
          <a:prstGeom prst="mathPlus">
            <a:avLst>
              <a:gd name="adj1" fmla="val 19568"/>
            </a:avLst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 sz="1050">
              <a:solidFill>
                <a:schemeClr val="tx1">
                  <a:lumMod val="75000"/>
                  <a:lumOff val="2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pic>
        <xdr:nvPicPr>
          <xdr:cNvPr id="6" name="グラフィックス 198" descr="キーボード 単色塗りつぶし">
            <a:extLst>
              <a:ext uri="{FF2B5EF4-FFF2-40B4-BE49-F238E27FC236}">
                <a16:creationId xmlns:a16="http://schemas.microsoft.com/office/drawing/2014/main" id="{BC7D61A8-3B43-A7ED-A317-42A0B39487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384694" y="6477077"/>
            <a:ext cx="677452" cy="801635"/>
          </a:xfrm>
          <a:prstGeom prst="rect">
            <a:avLst/>
          </a:prstGeom>
        </xdr:spPr>
      </xdr:pic>
      <xdr:sp macro="" textlink="">
        <xdr:nvSpPr>
          <xdr:cNvPr id="7" name="四角形: 角を丸くする 6">
            <a:extLst>
              <a:ext uri="{FF2B5EF4-FFF2-40B4-BE49-F238E27FC236}">
                <a16:creationId xmlns:a16="http://schemas.microsoft.com/office/drawing/2014/main" id="{C9A7E00B-BF46-2735-CCF8-0F528E372939}"/>
              </a:ext>
            </a:extLst>
          </xdr:cNvPr>
          <xdr:cNvSpPr/>
        </xdr:nvSpPr>
        <xdr:spPr>
          <a:xfrm>
            <a:off x="14392352" y="7062496"/>
            <a:ext cx="662135" cy="285554"/>
          </a:xfrm>
          <a:prstGeom prst="roundRect">
            <a:avLst>
              <a:gd name="adj" fmla="val 50000"/>
            </a:avLst>
          </a:prstGeom>
          <a:noFill/>
          <a:ln w="15875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ja-JP" altLang="en-US" sz="900">
                <a:solidFill>
                  <a:schemeClr val="tx1">
                    <a:lumMod val="75000"/>
                    <a:lumOff val="2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キーボード</a:t>
            </a:r>
          </a:p>
        </xdr:txBody>
      </xdr:sp>
    </xdr:grpSp>
    <xdr:clientData/>
  </xdr:twoCellAnchor>
  <xdr:twoCellAnchor>
    <xdr:from>
      <xdr:col>7</xdr:col>
      <xdr:colOff>2072548</xdr:colOff>
      <xdr:row>23</xdr:row>
      <xdr:rowOff>36369</xdr:rowOff>
    </xdr:from>
    <xdr:to>
      <xdr:col>7</xdr:col>
      <xdr:colOff>2619767</xdr:colOff>
      <xdr:row>24</xdr:row>
      <xdr:rowOff>11108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250E842B-B8A1-BB47-6325-DB60CF18E74F}"/>
            </a:ext>
          </a:extLst>
        </xdr:cNvPr>
        <xdr:cNvSpPr/>
      </xdr:nvSpPr>
      <xdr:spPr>
        <a:xfrm>
          <a:off x="15868759" y="7325501"/>
          <a:ext cx="547219" cy="285554"/>
        </a:xfrm>
        <a:prstGeom prst="roundRect">
          <a:avLst>
            <a:gd name="adj" fmla="val 50000"/>
          </a:avLst>
        </a:prstGeom>
        <a:noFill/>
        <a:ln w="158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ja-JP" sz="1400" b="1">
              <a:solidFill>
                <a:schemeClr val="tx1">
                  <a:lumMod val="75000"/>
                  <a:lumOff val="2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OR</a:t>
          </a:r>
          <a:endParaRPr kumimoji="1" lang="ja-JP" altLang="en-US" sz="1400" b="1">
            <a:solidFill>
              <a:schemeClr val="tx1">
                <a:lumMod val="75000"/>
                <a:lumOff val="25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988291</xdr:colOff>
      <xdr:row>23</xdr:row>
      <xdr:rowOff>148978</xdr:rowOff>
    </xdr:from>
    <xdr:to>
      <xdr:col>7</xdr:col>
      <xdr:colOff>3704024</xdr:colOff>
      <xdr:row>25</xdr:row>
      <xdr:rowOff>290782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49FCFACB-AC0B-68E5-389D-23EE1E97741B}"/>
            </a:ext>
          </a:extLst>
        </xdr:cNvPr>
        <xdr:cNvGrpSpPr/>
      </xdr:nvGrpSpPr>
      <xdr:grpSpPr>
        <a:xfrm>
          <a:off x="14777893" y="7487558"/>
          <a:ext cx="2715733" cy="769588"/>
          <a:chOff x="14432339" y="7438110"/>
          <a:chExt cx="2715733" cy="763435"/>
        </a:xfrm>
      </xdr:grpSpPr>
      <xdr:pic>
        <xdr:nvPicPr>
          <xdr:cNvPr id="9" name="グラフィックス 202" descr="カーソル 単色塗りつぶし">
            <a:extLst>
              <a:ext uri="{FF2B5EF4-FFF2-40B4-BE49-F238E27FC236}">
                <a16:creationId xmlns:a16="http://schemas.microsoft.com/office/drawing/2014/main" id="{75225068-69FB-36BE-2677-8B8DC9A38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432339" y="7438110"/>
            <a:ext cx="541356" cy="640591"/>
          </a:xfrm>
          <a:prstGeom prst="rect">
            <a:avLst/>
          </a:prstGeom>
        </xdr:spPr>
      </xdr:pic>
      <xdr:sp macro="" textlink="">
        <xdr:nvSpPr>
          <xdr:cNvPr id="10" name="四角形: 角を丸くする 9">
            <a:extLst>
              <a:ext uri="{FF2B5EF4-FFF2-40B4-BE49-F238E27FC236}">
                <a16:creationId xmlns:a16="http://schemas.microsoft.com/office/drawing/2014/main" id="{338913D4-55CE-AE4F-B6EA-6BC14E5B9C71}"/>
              </a:ext>
            </a:extLst>
          </xdr:cNvPr>
          <xdr:cNvSpPr/>
        </xdr:nvSpPr>
        <xdr:spPr>
          <a:xfrm>
            <a:off x="14449810" y="7915991"/>
            <a:ext cx="547219" cy="285554"/>
          </a:xfrm>
          <a:prstGeom prst="roundRect">
            <a:avLst>
              <a:gd name="adj" fmla="val 50000"/>
            </a:avLst>
          </a:prstGeom>
          <a:noFill/>
          <a:ln w="15875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ja-JP" altLang="en-US" sz="900">
                <a:solidFill>
                  <a:schemeClr val="tx1">
                    <a:lumMod val="75000"/>
                    <a:lumOff val="2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マウス</a:t>
            </a:r>
          </a:p>
        </xdr:txBody>
      </xdr:sp>
      <xdr:sp macro="" textlink="">
        <xdr:nvSpPr>
          <xdr:cNvPr id="11" name="四角形: 角を丸くする 10">
            <a:extLst>
              <a:ext uri="{FF2B5EF4-FFF2-40B4-BE49-F238E27FC236}">
                <a16:creationId xmlns:a16="http://schemas.microsoft.com/office/drawing/2014/main" id="{71C5CB36-E595-B539-AC37-F244652280CF}"/>
              </a:ext>
            </a:extLst>
          </xdr:cNvPr>
          <xdr:cNvSpPr/>
        </xdr:nvSpPr>
        <xdr:spPr>
          <a:xfrm>
            <a:off x="15553034" y="7604173"/>
            <a:ext cx="636958" cy="394356"/>
          </a:xfrm>
          <a:prstGeom prst="roundRect">
            <a:avLst/>
          </a:prstGeom>
          <a:no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ja-JP" altLang="en-US" sz="1050">
                <a:solidFill>
                  <a:schemeClr val="tx1">
                    <a:lumMod val="75000"/>
                    <a:lumOff val="2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右クリック</a:t>
            </a:r>
          </a:p>
        </xdr:txBody>
      </xdr:sp>
      <xdr:sp macro="" textlink="">
        <xdr:nvSpPr>
          <xdr:cNvPr id="12" name="四角形: 角を丸くする 11">
            <a:extLst>
              <a:ext uri="{FF2B5EF4-FFF2-40B4-BE49-F238E27FC236}">
                <a16:creationId xmlns:a16="http://schemas.microsoft.com/office/drawing/2014/main" id="{C031AA19-DEE3-9127-2279-6EA04663F85A}"/>
              </a:ext>
            </a:extLst>
          </xdr:cNvPr>
          <xdr:cNvSpPr/>
        </xdr:nvSpPr>
        <xdr:spPr>
          <a:xfrm>
            <a:off x="16713020" y="7604173"/>
            <a:ext cx="435052" cy="394356"/>
          </a:xfrm>
          <a:prstGeom prst="roundRect">
            <a:avLst/>
          </a:prstGeom>
          <a:no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ja-JP" altLang="en-US" sz="1050">
                <a:solidFill>
                  <a:schemeClr val="tx1">
                    <a:lumMod val="75000"/>
                    <a:lumOff val="2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コピー</a:t>
            </a:r>
          </a:p>
        </xdr:txBody>
      </xdr:sp>
      <xdr:sp macro="" textlink="">
        <xdr:nvSpPr>
          <xdr:cNvPr id="13" name="加算記号 12">
            <a:extLst>
              <a:ext uri="{FF2B5EF4-FFF2-40B4-BE49-F238E27FC236}">
                <a16:creationId xmlns:a16="http://schemas.microsoft.com/office/drawing/2014/main" id="{23C5C0F4-21DF-A60F-6021-0C7C74B7DDE9}"/>
              </a:ext>
            </a:extLst>
          </xdr:cNvPr>
          <xdr:cNvSpPr/>
        </xdr:nvSpPr>
        <xdr:spPr>
          <a:xfrm>
            <a:off x="16234840" y="7638828"/>
            <a:ext cx="332378" cy="325047"/>
          </a:xfrm>
          <a:prstGeom prst="mathPlus">
            <a:avLst>
              <a:gd name="adj1" fmla="val 19568"/>
            </a:avLst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 sz="1050">
              <a:solidFill>
                <a:schemeClr val="tx1">
                  <a:lumMod val="75000"/>
                  <a:lumOff val="2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4"/>
  <sheetViews>
    <sheetView showGridLines="0" tabSelected="1" topLeftCell="A2" zoomScale="88" zoomScaleNormal="95" workbookViewId="0">
      <selection activeCell="E4" sqref="E4"/>
    </sheetView>
  </sheetViews>
  <sheetFormatPr defaultColWidth="0.125" defaultRowHeight="0.95" customHeight="1" x14ac:dyDescent="0.4"/>
  <cols>
    <col min="1" max="1" width="2.875" style="4" customWidth="1"/>
    <col min="2" max="2" width="4.75" style="4" bestFit="1" customWidth="1"/>
    <col min="3" max="3" width="11.25" style="4" bestFit="1" customWidth="1"/>
    <col min="4" max="4" width="108.375" style="4" customWidth="1"/>
    <col min="5" max="5" width="29.125" style="4" bestFit="1" customWidth="1"/>
    <col min="6" max="6" width="4.625" style="4" customWidth="1"/>
    <col min="7" max="7" width="20" style="4" customWidth="1"/>
    <col min="8" max="8" width="61.625" style="4" customWidth="1"/>
    <col min="9" max="9" width="4.125" style="4" customWidth="1"/>
    <col min="10" max="16384" width="0.125" style="4"/>
  </cols>
  <sheetData>
    <row r="1" spans="1:9" ht="30" customHeight="1" x14ac:dyDescent="0.4">
      <c r="A1" s="20" t="s">
        <v>113</v>
      </c>
      <c r="G1" s="20" t="s">
        <v>109</v>
      </c>
    </row>
    <row r="2" spans="1:9" ht="30" customHeight="1" x14ac:dyDescent="0.4">
      <c r="A2" s="19"/>
      <c r="B2" s="22" t="s">
        <v>0</v>
      </c>
      <c r="C2" s="22" t="s">
        <v>1</v>
      </c>
      <c r="D2" s="22" t="s">
        <v>2</v>
      </c>
      <c r="E2" s="22" t="s">
        <v>3</v>
      </c>
      <c r="G2" s="23" t="s">
        <v>4</v>
      </c>
      <c r="H2" s="24" t="s">
        <v>5</v>
      </c>
    </row>
    <row r="3" spans="1:9" ht="24.95" customHeight="1" x14ac:dyDescent="0.4">
      <c r="A3" s="19"/>
      <c r="B3" s="5">
        <f>ROW()-ROW($B$2)</f>
        <v>1</v>
      </c>
      <c r="C3" s="5" t="s">
        <v>75</v>
      </c>
      <c r="D3" s="5" t="s">
        <v>99</v>
      </c>
      <c r="E3" s="12" t="s">
        <v>76</v>
      </c>
      <c r="G3" s="5" t="s">
        <v>6</v>
      </c>
      <c r="H3" s="6" t="str">
        <f>IF($E$16="1.あり","999999999999999",VLOOKUP($E$3,マスタ!$A$2:$B$15,2,FALSE)&amp;VLOOKUP($E$4,マスタ!$C$2:$D$15,2,FALSE)&amp;VLOOKUP($E$5,マスタ!$E$2:$F$15,2,FALSE)&amp;VLOOKUP($E$6,マスタ!$G$2:$H$15,2,FALSE)&amp;VLOOKUP($E$7,マスタ!$I$2:$J$15,2,FALSE)&amp;VLOOKUP($E$8,マスタ!$K$2:$L$15,2,FALSE)&amp;VLOOKUP($E$9,マスタ!$M$2:$N$15,2,FALSE)&amp;VLOOKUP($E$10,マスタ!$O$2:$P$17,2,FALSE)&amp;VLOOKUP($E$11,マスタ!$Q$2:$R$15,2,FALSE)&amp;VLOOKUP($E$12,マスタ!$S$2:$T$15,2,FALSE)&amp;VLOOKUP($E$13,マスタ!$U$2:$V$15,2,FALSE)&amp;VLOOKUP($E$14,マスタ!$W$2:$X$15,2,FALSE)&amp;VLOOKUP($E$15,マスタ!$Y$2:$Z$15,2,FALSE)&amp;VLOOKUP($E$16,マスタ!$AA$2:$AB$15,2,FALSE)&amp;VLOOKUP($E$20,マスタ!$O$3:$P$10,2,FALSE))</f>
        <v>0101000021N110N</v>
      </c>
    </row>
    <row r="4" spans="1:9" ht="24.95" customHeight="1" x14ac:dyDescent="0.4">
      <c r="A4" s="19"/>
      <c r="B4" s="7">
        <f>ROW()-ROW($B$2)</f>
        <v>2</v>
      </c>
      <c r="C4" s="7" t="s">
        <v>81</v>
      </c>
      <c r="D4" s="7" t="s">
        <v>82</v>
      </c>
      <c r="E4" s="13" t="s">
        <v>33</v>
      </c>
      <c r="G4" s="7" t="s">
        <v>83</v>
      </c>
      <c r="H4" s="8" t="str">
        <f>VLOOKUP("取得した携帯電話番号を入力してください",$D$3:$E$23,2,FALSE)</f>
        <v>08012345678</v>
      </c>
    </row>
    <row r="5" spans="1:9" ht="24.95" customHeight="1" x14ac:dyDescent="0.4">
      <c r="A5" s="19"/>
      <c r="B5" s="7">
        <f>ROW()-ROW($B$2)</f>
        <v>3</v>
      </c>
      <c r="C5" s="7" t="s">
        <v>81</v>
      </c>
      <c r="D5" s="7" t="s">
        <v>86</v>
      </c>
      <c r="E5" s="13" t="s">
        <v>119</v>
      </c>
      <c r="G5" s="7" t="s">
        <v>105</v>
      </c>
      <c r="H5" s="8" t="str">
        <f>VLOOKUP("取得した住所を入力してください - 都道府県",$D$3:$E$43,2,FALSE)&amp;VLOOKUP("取得した住所を入力してください - 市区町村",$D$3:$E$43,2,FALSE)&amp;VLOOKUP("取得した住所を入力してください - 町名・大字",$D$3:$E$43,2,FALSE)&amp;VLOOKUP("取得した住所を入力してください - 丁番号",$D$3:$E$43,2,FALSE)&amp;VLOOKUP("取得した住所を入力してください - 建物名・部屋番号",$D$3:$E$43,2,FALSE)</f>
        <v>東京都千代田区大手町2-3-1大手町プレイスウエストタワー・11F</v>
      </c>
    </row>
    <row r="6" spans="1:9" ht="24.95" customHeight="1" x14ac:dyDescent="0.4">
      <c r="A6" s="19"/>
      <c r="B6" s="7">
        <f t="shared" ref="B6:B16" si="0">ROW()-ROW($B$2)</f>
        <v>4</v>
      </c>
      <c r="C6" s="7" t="s">
        <v>84</v>
      </c>
      <c r="D6" s="7" t="s">
        <v>87</v>
      </c>
      <c r="E6" s="13" t="s">
        <v>121</v>
      </c>
      <c r="H6" s="9"/>
    </row>
    <row r="7" spans="1:9" ht="24.95" customHeight="1" x14ac:dyDescent="0.4">
      <c r="A7" s="19"/>
      <c r="B7" s="7">
        <f t="shared" si="0"/>
        <v>5</v>
      </c>
      <c r="C7" s="7" t="s">
        <v>84</v>
      </c>
      <c r="D7" s="7" t="s">
        <v>89</v>
      </c>
      <c r="E7" s="13" t="s">
        <v>124</v>
      </c>
      <c r="I7" s="4" t="s">
        <v>19</v>
      </c>
    </row>
    <row r="8" spans="1:9" ht="24.95" customHeight="1" x14ac:dyDescent="0.4">
      <c r="A8" s="19"/>
      <c r="B8" s="7">
        <f>ROW()-ROW($B$2)</f>
        <v>6</v>
      </c>
      <c r="C8" s="7" t="s">
        <v>81</v>
      </c>
      <c r="D8" s="7" t="s">
        <v>88</v>
      </c>
      <c r="E8" s="13" t="s">
        <v>91</v>
      </c>
      <c r="I8" s="4" t="s">
        <v>19</v>
      </c>
    </row>
    <row r="9" spans="1:9" ht="24.95" customHeight="1" x14ac:dyDescent="0.4">
      <c r="A9" s="19"/>
      <c r="B9" s="7">
        <f t="shared" si="0"/>
        <v>7</v>
      </c>
      <c r="C9" s="7" t="s">
        <v>84</v>
      </c>
      <c r="D9" s="7" t="s">
        <v>107</v>
      </c>
      <c r="E9" s="13" t="s">
        <v>29</v>
      </c>
    </row>
    <row r="10" spans="1:9" ht="24.95" customHeight="1" x14ac:dyDescent="0.4">
      <c r="A10" s="19"/>
      <c r="B10" s="7">
        <f t="shared" si="0"/>
        <v>8</v>
      </c>
      <c r="C10" s="7" t="s">
        <v>85</v>
      </c>
      <c r="D10" s="7" t="s">
        <v>16</v>
      </c>
      <c r="E10" s="13" t="s">
        <v>17</v>
      </c>
      <c r="I10" s="4" t="s">
        <v>19</v>
      </c>
    </row>
    <row r="11" spans="1:9" ht="24.95" customHeight="1" x14ac:dyDescent="0.4">
      <c r="A11" s="19"/>
      <c r="B11" s="7">
        <f t="shared" si="0"/>
        <v>9</v>
      </c>
      <c r="C11" s="7" t="s">
        <v>85</v>
      </c>
      <c r="D11" s="7" t="s">
        <v>15</v>
      </c>
      <c r="E11" s="13" t="s">
        <v>22</v>
      </c>
    </row>
    <row r="12" spans="1:9" ht="24.95" customHeight="1" x14ac:dyDescent="0.4">
      <c r="A12" s="19"/>
      <c r="B12" s="7">
        <f t="shared" si="0"/>
        <v>10</v>
      </c>
      <c r="C12" s="7" t="s">
        <v>73</v>
      </c>
      <c r="D12" s="7" t="s">
        <v>74</v>
      </c>
      <c r="E12" s="13" t="s">
        <v>37</v>
      </c>
    </row>
    <row r="13" spans="1:9" ht="24.95" customHeight="1" x14ac:dyDescent="0.4">
      <c r="A13" s="19"/>
      <c r="B13" s="7">
        <f t="shared" si="0"/>
        <v>11</v>
      </c>
      <c r="C13" s="7" t="s">
        <v>73</v>
      </c>
      <c r="D13" s="7" t="s">
        <v>100</v>
      </c>
      <c r="E13" s="13" t="s">
        <v>120</v>
      </c>
    </row>
    <row r="14" spans="1:9" ht="24.95" customHeight="1" x14ac:dyDescent="0.4">
      <c r="A14" s="19"/>
      <c r="B14" s="7">
        <f t="shared" si="0"/>
        <v>12</v>
      </c>
      <c r="C14" s="7" t="s">
        <v>73</v>
      </c>
      <c r="D14" s="7" t="s">
        <v>112</v>
      </c>
      <c r="E14" s="13" t="s">
        <v>39</v>
      </c>
    </row>
    <row r="15" spans="1:9" ht="24.95" customHeight="1" x14ac:dyDescent="0.4">
      <c r="A15" s="19"/>
      <c r="B15" s="7">
        <f t="shared" si="0"/>
        <v>13</v>
      </c>
      <c r="C15" s="7" t="s">
        <v>55</v>
      </c>
      <c r="D15" s="7" t="s">
        <v>56</v>
      </c>
      <c r="E15" s="13" t="s">
        <v>59</v>
      </c>
    </row>
    <row r="16" spans="1:9" ht="24.95" customHeight="1" x14ac:dyDescent="0.4">
      <c r="A16" s="19"/>
      <c r="B16" s="7">
        <f t="shared" si="0"/>
        <v>14</v>
      </c>
      <c r="C16" s="7" t="s">
        <v>68</v>
      </c>
      <c r="D16" s="7" t="s">
        <v>69</v>
      </c>
      <c r="E16" s="13" t="s">
        <v>122</v>
      </c>
    </row>
    <row r="17" spans="1:9" ht="13.5" x14ac:dyDescent="0.4">
      <c r="A17" s="19"/>
    </row>
    <row r="18" spans="1:9" ht="30" customHeight="1" thickBot="1" x14ac:dyDescent="0.45">
      <c r="A18" s="21" t="s">
        <v>114</v>
      </c>
      <c r="G18" s="20" t="s">
        <v>118</v>
      </c>
      <c r="H18" s="9"/>
    </row>
    <row r="19" spans="1:9" ht="30" customHeight="1" thickBot="1" x14ac:dyDescent="0.45">
      <c r="B19" s="26" t="s">
        <v>0</v>
      </c>
      <c r="C19" s="26" t="s">
        <v>13</v>
      </c>
      <c r="D19" s="26" t="s">
        <v>57</v>
      </c>
      <c r="E19" s="26" t="s">
        <v>14</v>
      </c>
      <c r="G19" s="25" t="s">
        <v>106</v>
      </c>
      <c r="H19" s="17" t="str">
        <f>$H$3&amp;"|"&amp;$H$4&amp;"|"&amp;$H$5</f>
        <v>0101000021N110N|08012345678|東京都千代田区大手町2-3-1大手町プレイスウエストタワー・11F</v>
      </c>
      <c r="I19" s="4" t="s">
        <v>108</v>
      </c>
    </row>
    <row r="20" spans="1:9" ht="24.95" customHeight="1" x14ac:dyDescent="0.4">
      <c r="B20" s="10">
        <f t="shared" ref="B20:B26" si="1">ROW()-ROW($B$19)</f>
        <v>1</v>
      </c>
      <c r="C20" s="10" t="s">
        <v>53</v>
      </c>
      <c r="D20" s="10" t="s">
        <v>111</v>
      </c>
      <c r="E20" s="14" t="s">
        <v>120</v>
      </c>
    </row>
    <row r="21" spans="1:9" ht="24.95" customHeight="1" x14ac:dyDescent="0.4">
      <c r="B21" s="11">
        <f t="shared" si="1"/>
        <v>2</v>
      </c>
      <c r="C21" s="11" t="s">
        <v>7</v>
      </c>
      <c r="D21" s="11" t="s">
        <v>110</v>
      </c>
      <c r="E21" s="16" t="s">
        <v>123</v>
      </c>
    </row>
    <row r="22" spans="1:9" ht="24.95" customHeight="1" x14ac:dyDescent="0.4">
      <c r="B22" s="11">
        <f t="shared" si="1"/>
        <v>3</v>
      </c>
      <c r="C22" s="11" t="s">
        <v>8</v>
      </c>
      <c r="D22" s="11" t="s">
        <v>9</v>
      </c>
      <c r="E22" s="15" t="s">
        <v>65</v>
      </c>
      <c r="H22" s="18"/>
    </row>
    <row r="23" spans="1:9" ht="24.95" customHeight="1" x14ac:dyDescent="0.4">
      <c r="B23" s="11">
        <f t="shared" si="1"/>
        <v>4</v>
      </c>
      <c r="C23" s="11" t="s">
        <v>8</v>
      </c>
      <c r="D23" s="11" t="s">
        <v>10</v>
      </c>
      <c r="E23" s="15" t="s">
        <v>101</v>
      </c>
      <c r="H23" s="18"/>
    </row>
    <row r="24" spans="1:9" ht="24.95" customHeight="1" x14ac:dyDescent="0.4">
      <c r="B24" s="11">
        <f t="shared" si="1"/>
        <v>5</v>
      </c>
      <c r="C24" s="11" t="s">
        <v>8</v>
      </c>
      <c r="D24" s="11" t="s">
        <v>11</v>
      </c>
      <c r="E24" s="15" t="s">
        <v>102</v>
      </c>
      <c r="H24" s="18"/>
    </row>
    <row r="25" spans="1:9" ht="24.95" customHeight="1" x14ac:dyDescent="0.4">
      <c r="B25" s="11">
        <f t="shared" si="1"/>
        <v>6</v>
      </c>
      <c r="C25" s="11" t="s">
        <v>8</v>
      </c>
      <c r="D25" s="11" t="s">
        <v>12</v>
      </c>
      <c r="E25" s="16" t="s">
        <v>103</v>
      </c>
      <c r="H25" s="18"/>
    </row>
    <row r="26" spans="1:9" ht="24.95" customHeight="1" x14ac:dyDescent="0.4">
      <c r="B26" s="11">
        <f t="shared" si="1"/>
        <v>7</v>
      </c>
      <c r="C26" s="11" t="s">
        <v>8</v>
      </c>
      <c r="D26" s="11" t="s">
        <v>66</v>
      </c>
      <c r="E26" s="15" t="s">
        <v>104</v>
      </c>
      <c r="H26" s="18"/>
    </row>
    <row r="27" spans="1:9" ht="13.5" x14ac:dyDescent="0.4">
      <c r="H27" s="18"/>
    </row>
    <row r="28" spans="1:9" ht="0.95" customHeight="1" x14ac:dyDescent="0.4">
      <c r="H28" s="18"/>
    </row>
    <row r="29" spans="1:9" ht="0.95" customHeight="1" x14ac:dyDescent="0.4">
      <c r="H29" s="18"/>
    </row>
    <row r="30" spans="1:9" ht="0.95" customHeight="1" x14ac:dyDescent="0.4">
      <c r="H30" s="18"/>
    </row>
    <row r="31" spans="1:9" ht="0.95" customHeight="1" x14ac:dyDescent="0.4">
      <c r="H31" s="18"/>
    </row>
    <row r="32" spans="1:9" ht="0.95" customHeight="1" x14ac:dyDescent="0.4">
      <c r="H32" s="18"/>
    </row>
    <row r="33" spans="8:8" ht="0.95" customHeight="1" x14ac:dyDescent="0.4">
      <c r="H33" s="18"/>
    </row>
    <row r="34" spans="8:8" ht="0.95" customHeight="1" x14ac:dyDescent="0.4">
      <c r="H34" s="18"/>
    </row>
    <row r="35" spans="8:8" ht="0.95" customHeight="1" x14ac:dyDescent="0.4">
      <c r="H35" s="18"/>
    </row>
    <row r="36" spans="8:8" ht="0.95" customHeight="1" x14ac:dyDescent="0.4">
      <c r="H36" s="18"/>
    </row>
    <row r="37" spans="8:8" ht="0.95" customHeight="1" x14ac:dyDescent="0.4">
      <c r="H37" s="18"/>
    </row>
    <row r="38" spans="8:8" ht="0.95" customHeight="1" x14ac:dyDescent="0.4">
      <c r="H38" s="18"/>
    </row>
    <row r="39" spans="8:8" ht="0.95" customHeight="1" x14ac:dyDescent="0.4">
      <c r="H39" s="18"/>
    </row>
    <row r="40" spans="8:8" ht="0.95" customHeight="1" x14ac:dyDescent="0.4">
      <c r="H40" s="18"/>
    </row>
    <row r="41" spans="8:8" ht="0.95" customHeight="1" x14ac:dyDescent="0.4">
      <c r="H41" s="18"/>
    </row>
    <row r="42" spans="8:8" ht="0.95" customHeight="1" x14ac:dyDescent="0.4">
      <c r="H42" s="18"/>
    </row>
    <row r="43" spans="8:8" ht="0.95" customHeight="1" x14ac:dyDescent="0.4">
      <c r="H43" s="18"/>
    </row>
    <row r="44" spans="8:8" ht="0.95" customHeight="1" x14ac:dyDescent="0.4">
      <c r="H44" s="18"/>
    </row>
    <row r="45" spans="8:8" ht="0.95" customHeight="1" x14ac:dyDescent="0.4">
      <c r="H45" s="18"/>
    </row>
    <row r="46" spans="8:8" ht="0.95" customHeight="1" x14ac:dyDescent="0.4">
      <c r="H46" s="18"/>
    </row>
    <row r="47" spans="8:8" ht="0.95" customHeight="1" x14ac:dyDescent="0.4">
      <c r="H47" s="18"/>
    </row>
    <row r="48" spans="8:8" ht="0.95" customHeight="1" x14ac:dyDescent="0.4">
      <c r="H48" s="18"/>
    </row>
    <row r="49" spans="8:8" ht="0.95" customHeight="1" x14ac:dyDescent="0.4">
      <c r="H49" s="18"/>
    </row>
    <row r="50" spans="8:8" ht="0.95" customHeight="1" x14ac:dyDescent="0.4">
      <c r="H50" s="18"/>
    </row>
    <row r="51" spans="8:8" ht="0.95" customHeight="1" x14ac:dyDescent="0.4">
      <c r="H51" s="18"/>
    </row>
    <row r="52" spans="8:8" ht="0.95" customHeight="1" x14ac:dyDescent="0.4">
      <c r="H52" s="18"/>
    </row>
    <row r="53" spans="8:8" ht="0.95" customHeight="1" x14ac:dyDescent="0.4">
      <c r="H53" s="18"/>
    </row>
    <row r="54" spans="8:8" ht="0.95" customHeight="1" x14ac:dyDescent="0.4">
      <c r="H54" s="18"/>
    </row>
    <row r="55" spans="8:8" ht="0.95" customHeight="1" x14ac:dyDescent="0.4">
      <c r="H55" s="18"/>
    </row>
    <row r="56" spans="8:8" ht="0.95" customHeight="1" x14ac:dyDescent="0.4">
      <c r="H56" s="18"/>
    </row>
    <row r="57" spans="8:8" ht="0.95" customHeight="1" x14ac:dyDescent="0.4">
      <c r="H57" s="18"/>
    </row>
    <row r="58" spans="8:8" ht="0.95" customHeight="1" x14ac:dyDescent="0.4">
      <c r="H58" s="18"/>
    </row>
    <row r="59" spans="8:8" ht="0.95" customHeight="1" x14ac:dyDescent="0.4">
      <c r="H59" s="18"/>
    </row>
    <row r="60" spans="8:8" ht="0.95" customHeight="1" x14ac:dyDescent="0.4">
      <c r="H60" s="18"/>
    </row>
    <row r="61" spans="8:8" ht="0.95" customHeight="1" x14ac:dyDescent="0.4">
      <c r="H61" s="18"/>
    </row>
    <row r="62" spans="8:8" ht="0.95" customHeight="1" x14ac:dyDescent="0.4">
      <c r="H62" s="18"/>
    </row>
    <row r="63" spans="8:8" ht="0.95" customHeight="1" x14ac:dyDescent="0.4">
      <c r="H63" s="18"/>
    </row>
    <row r="64" spans="8:8" ht="0.95" customHeight="1" x14ac:dyDescent="0.4">
      <c r="H64" s="18"/>
    </row>
    <row r="65" spans="8:8" ht="0.95" customHeight="1" x14ac:dyDescent="0.4">
      <c r="H65" s="18"/>
    </row>
    <row r="66" spans="8:8" ht="0.95" customHeight="1" x14ac:dyDescent="0.4">
      <c r="H66" s="18"/>
    </row>
    <row r="67" spans="8:8" ht="0.95" customHeight="1" x14ac:dyDescent="0.4">
      <c r="H67" s="18"/>
    </row>
    <row r="68" spans="8:8" ht="0.95" customHeight="1" x14ac:dyDescent="0.4">
      <c r="H68" s="18"/>
    </row>
    <row r="69" spans="8:8" ht="0.95" customHeight="1" x14ac:dyDescent="0.4">
      <c r="H69" s="18"/>
    </row>
    <row r="70" spans="8:8" ht="0.95" customHeight="1" x14ac:dyDescent="0.4">
      <c r="H70" s="18"/>
    </row>
    <row r="71" spans="8:8" ht="0.95" customHeight="1" x14ac:dyDescent="0.4">
      <c r="H71" s="18"/>
    </row>
    <row r="72" spans="8:8" ht="0.95" customHeight="1" x14ac:dyDescent="0.4">
      <c r="H72" s="18"/>
    </row>
    <row r="73" spans="8:8" ht="0.95" customHeight="1" x14ac:dyDescent="0.4">
      <c r="H73" s="18"/>
    </row>
    <row r="74" spans="8:8" ht="0.95" customHeight="1" x14ac:dyDescent="0.4">
      <c r="H74" s="18"/>
    </row>
    <row r="75" spans="8:8" ht="0.95" customHeight="1" x14ac:dyDescent="0.4">
      <c r="H75" s="18"/>
    </row>
    <row r="76" spans="8:8" ht="0.95" customHeight="1" x14ac:dyDescent="0.4">
      <c r="H76" s="18"/>
    </row>
    <row r="77" spans="8:8" ht="0.95" customHeight="1" x14ac:dyDescent="0.4">
      <c r="H77" s="18"/>
    </row>
    <row r="78" spans="8:8" ht="0.95" customHeight="1" x14ac:dyDescent="0.4">
      <c r="H78" s="18"/>
    </row>
    <row r="79" spans="8:8" ht="0.95" customHeight="1" x14ac:dyDescent="0.4">
      <c r="H79" s="18"/>
    </row>
    <row r="80" spans="8:8" ht="0.95" customHeight="1" x14ac:dyDescent="0.4">
      <c r="H80" s="18"/>
    </row>
    <row r="81" spans="8:8" ht="0.95" customHeight="1" x14ac:dyDescent="0.4">
      <c r="H81" s="18"/>
    </row>
    <row r="82" spans="8:8" ht="0.95" customHeight="1" x14ac:dyDescent="0.4">
      <c r="H82" s="18"/>
    </row>
    <row r="83" spans="8:8" ht="0.95" customHeight="1" x14ac:dyDescent="0.4">
      <c r="H83" s="18"/>
    </row>
    <row r="84" spans="8:8" ht="0.95" customHeight="1" x14ac:dyDescent="0.4">
      <c r="H84" s="18"/>
    </row>
    <row r="85" spans="8:8" ht="0.95" customHeight="1" x14ac:dyDescent="0.4">
      <c r="H85" s="18"/>
    </row>
    <row r="86" spans="8:8" ht="0.95" customHeight="1" x14ac:dyDescent="0.4">
      <c r="H86" s="18"/>
    </row>
    <row r="87" spans="8:8" ht="0.95" customHeight="1" x14ac:dyDescent="0.4">
      <c r="H87" s="18"/>
    </row>
    <row r="88" spans="8:8" ht="0.95" customHeight="1" x14ac:dyDescent="0.4">
      <c r="H88" s="18"/>
    </row>
    <row r="89" spans="8:8" ht="0.95" customHeight="1" x14ac:dyDescent="0.4">
      <c r="H89" s="18"/>
    </row>
    <row r="90" spans="8:8" ht="0.95" customHeight="1" x14ac:dyDescent="0.4">
      <c r="H90" s="18"/>
    </row>
    <row r="91" spans="8:8" ht="0.95" customHeight="1" x14ac:dyDescent="0.4">
      <c r="H91" s="18"/>
    </row>
    <row r="92" spans="8:8" ht="0.95" customHeight="1" x14ac:dyDescent="0.4">
      <c r="H92" s="18"/>
    </row>
    <row r="93" spans="8:8" ht="0.95" customHeight="1" x14ac:dyDescent="0.4">
      <c r="H93" s="18"/>
    </row>
    <row r="94" spans="8:8" ht="0.95" customHeight="1" x14ac:dyDescent="0.4">
      <c r="H94" s="18"/>
    </row>
  </sheetData>
  <protectedRanges>
    <protectedRange sqref="E21:E26" name="コミュニケーションライン"/>
  </protectedRanges>
  <phoneticPr fontId="1"/>
  <dataValidations xWindow="1139" yWindow="546" count="9">
    <dataValidation type="textLength" operator="equal" showInputMessage="1" showErrorMessage="1" error="無効な番号です" promptTitle="携帯番号入力" prompt="・携帯電話番号をハイフン(-)なし、半角数字のみ11桁で入力してください_x000a_・取得していない場合はデフォルト値「00000000000」を入力してください_x000a_" sqref="E21" xr:uid="{00000000-0002-0000-0000-000000000000}">
      <formula1>11</formula1>
    </dataValidation>
    <dataValidation type="textLength" operator="greaterThanOrEqual" showErrorMessage="1" error="無効な番号です" prompt="携帯電話の番号11桁を数字で入力してください" sqref="E24" xr:uid="{00000000-0002-0000-0000-000001000000}">
      <formula1>1</formula1>
    </dataValidation>
    <dataValidation type="textLength" operator="greaterThanOrEqual" showInputMessage="1" showErrorMessage="1" error="無効な番号です" prompt="丁番号はそれぞれ「-」で区切ってください" sqref="E25" xr:uid="{00000000-0002-0000-0000-000002000000}">
      <formula1>0</formula1>
    </dataValidation>
    <dataValidation type="textLength" operator="greaterThanOrEqual" showInputMessage="1" showErrorMessage="1" error="無効な番号です" prompt="建物名と部屋番号は「・」で区切ってください" sqref="E26" xr:uid="{00000000-0002-0000-0000-000003000000}">
      <formula1>3</formula1>
    </dataValidation>
    <dataValidation type="textLength" showInputMessage="1" showErrorMessage="1" error="正しい都道府県を入力してください" prompt="都道府県まで含めて入力してください" sqref="E22" xr:uid="{64E3E6A9-A679-41A7-82D8-59D73AE249E9}">
      <formula1>3</formula1>
      <formula2>4</formula2>
    </dataValidation>
    <dataValidation type="textLength" operator="lessThanOrEqual" showInputMessage="1" showErrorMessage="1" error="無効な番号です" prompt="市区町村まで含めて入力してください" sqref="E23" xr:uid="{5F898C86-EEFD-43E9-BF13-7FC6E2050E4B}">
      <formula1>7</formula1>
    </dataValidation>
    <dataValidation type="list" allowBlank="1" showInputMessage="1" showErrorMessage="1" errorTitle="入力エラー" error="リストから選択してください" sqref="E5" xr:uid="{6BCC9804-F3F0-45EB-817F-A6D3C0FC70AA}">
      <formula1>"0.電話,1.訪問,2.再訪問"</formula1>
    </dataValidation>
    <dataValidation type="list" allowBlank="1" showInputMessage="1" showErrorMessage="1" errorTitle="入力エラー" error="リストから選択してください" sqref="E6" xr:uid="{B9F08660-31D8-4AE7-88F4-2C2321684641}">
      <formula1>"0.問題あり,1.問題なし"</formula1>
    </dataValidation>
    <dataValidation type="list" allowBlank="1" showInputMessage="1" showErrorMessage="1" errorTitle="入力エラー" error="リストから選択してください" sqref="E7" xr:uid="{9E9E7ED9-AA4C-4CC1-96B4-6912C285FC82}">
      <formula1>"0.在宅,1.一時不在,2.施設入居,3.入院,4.死亡,5.電話での手続き不可,6.拒否"</formula1>
    </dataValidation>
  </dataValidations>
  <pageMargins left="0.7" right="0.7" top="0.75" bottom="0.75" header="0.3" footer="0.3"/>
  <pageSetup paperSize="9" orientation="portrait" verticalDpi="0" r:id="rId1"/>
  <ignoredErrors>
    <ignoredError sqref="E25" twoDigitTextYea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xWindow="1139" yWindow="546" count="16">
        <x14:dataValidation type="list" allowBlank="1" showInputMessage="1" showErrorMessage="1" xr:uid="{62D07BA6-9048-482E-8828-0588D54C86A6}">
          <x14:formula1>
            <xm:f>マスタ!$C$2:$C$3</xm:f>
          </x14:formula1>
          <xm:sqref>E4</xm:sqref>
        </x14:dataValidation>
        <x14:dataValidation type="list" allowBlank="1" showInputMessage="1" showErrorMessage="1" promptTitle="ガイド" prompt="活動入力ExcelのG~H列を参照し、下記のように選択してください。_x000a_1. 「片道ハガキ」または「往復ハガキ」列に番号記載⇒被保険者_x000a_2. 「郵送キット」列に番号記載⇒契約者" xr:uid="{9FC1FDE8-519B-4A4F-B8DC-8F269264991A}">
          <x14:formula1>
            <xm:f>マスタ!$A$2:$A$3</xm:f>
          </x14:formula1>
          <xm:sqref>E3</xm:sqref>
        </x14:dataValidation>
        <x14:dataValidation type="list" allowBlank="1" showInputMessage="1" showErrorMessage="1" xr:uid="{C31FDC22-E060-46CB-81BB-6343D3C939D1}">
          <x14:formula1>
            <xm:f>IF(OR($E$4=マスタ!$C$3,マスタ!$E$2),マスタ!$K$4,マスタ!$K$2:$K$3)</xm:f>
          </x14:formula1>
          <xm:sqref>E8</xm:sqref>
        </x14:dataValidation>
        <x14:dataValidation type="list" allowBlank="1" showInputMessage="1" showErrorMessage="1" xr:uid="{4D267629-2C97-437D-9778-E83425210606}">
          <x14:formula1>
            <xm:f>IF($E$4=マスタ!$C$3,マスタ!$M$4,マスタ!$M$2:$M$3)</xm:f>
          </x14:formula1>
          <xm:sqref>E9 E9</xm:sqref>
        </x14:dataValidation>
        <x14:dataValidation type="list" allowBlank="1" showInputMessage="1" showErrorMessage="1" xr:uid="{7EEC6A2F-522C-4FBF-88D7-55AB5EBF857D}">
          <x14:formula1>
            <xm:f>IF($E$4=マスタ!$C$3,マスタ!$K$4,マスタ!$K$2:$K$3)</xm:f>
          </x14:formula1>
          <xm:sqref>E8</xm:sqref>
        </x14:dataValidation>
        <x14:dataValidation type="list" allowBlank="1" showInputMessage="1" showErrorMessage="1" xr:uid="{16CE0774-4A9E-4EEE-B5DD-092E6CA0D449}">
          <x14:formula1>
            <xm:f>マスタ!$Y$2:$Y$9</xm:f>
          </x14:formula1>
          <xm:sqref>E15</xm:sqref>
        </x14:dataValidation>
        <x14:dataValidation type="list" allowBlank="1" showInputMessage="1" showErrorMessage="1" xr:uid="{56772486-3FBC-4D1C-9217-7000C5DF685E}">
          <x14:formula1>
            <xm:f>IF($E$10=マスタ!$O$2,マスタ!$Q$5,マスタ!$Q$2:$Q$4)</xm:f>
          </x14:formula1>
          <xm:sqref>E11</xm:sqref>
        </x14:dataValidation>
        <x14:dataValidation type="list" allowBlank="1" showInputMessage="1" showErrorMessage="1" xr:uid="{FE626B3F-DF83-4B91-8201-F773CF49F733}">
          <x14:formula1>
            <xm:f>マスタ!$O$2:$O$9</xm:f>
          </x14:formula1>
          <xm:sqref>E10</xm:sqref>
        </x14:dataValidation>
        <x14:dataValidation type="list" allowBlank="1" showInputMessage="1" showErrorMessage="1" xr:uid="{00FD9CEB-D93F-4BB7-A554-508CF6B8F2D4}">
          <x14:formula1>
            <xm:f>IF(OR($E$4=マスタ!$C$3,$E$10=マスタ!$O$2),マスタ!$U$6,マスタ!$U$2:$U$5)</xm:f>
          </x14:formula1>
          <xm:sqref>E13</xm:sqref>
        </x14:dataValidation>
        <x14:dataValidation type="list" allowBlank="1" showInputMessage="1" showErrorMessage="1" xr:uid="{00000000-0002-0000-0000-000005000000}">
          <x14:formula1>
            <xm:f>IF(AND($E$4=マスタ!$C$3,$E$10=マスタ!$O$2),マスタ!$W$2:$W$5,マスタ!$W$6)</xm:f>
          </x14:formula1>
          <xm:sqref>E14</xm:sqref>
        </x14:dataValidation>
        <x14:dataValidation type="list" allowBlank="1" showInputMessage="1" showErrorMessage="1" xr:uid="{ED57F2A5-D2A4-46BF-A068-7F888ECDE663}">
          <x14:formula1>
            <xm:f>IF($E$4=マスタ!$A$2,マスタ!$Q$5,IF($E$3=マスタ!$C$3,マスタ!$M$4,マスタ!$M$2:$M$3))</xm:f>
          </x14:formula1>
          <xm:sqref>E9</xm:sqref>
        </x14:dataValidation>
        <x14:dataValidation type="list" allowBlank="1" showInputMessage="1" showErrorMessage="1" xr:uid="{8913B9E5-BC8E-478D-83F5-C200A2BF6D73}">
          <x14:formula1>
            <xm:f>IF($E$4=マスタ!$C$3,マスタ!$AA$2:$AA$3,マスタ!$AA$4)</xm:f>
          </x14:formula1>
          <xm:sqref>E16</xm:sqref>
        </x14:dataValidation>
        <x14:dataValidation type="list" operator="greaterThanOrEqual" showInputMessage="1" showErrorMessage="1" error="無効な番号です" promptTitle="選択肢の説明" prompt="取得していない場合は「N.NA」を選択してください。_x000a_それ以外の場合は1~5の選択肢から選択してください。" xr:uid="{20D6E63D-2BB9-4E71-9529-C6E2E5CE8D2B}">
          <x14:formula1>
            <xm:f>マスタ!$O$3:$O$10</xm:f>
          </x14:formula1>
          <xm:sqref>E20</xm:sqref>
        </x14:dataValidation>
        <x14:dataValidation type="list" allowBlank="1" showInputMessage="1" showErrorMessage="1" xr:uid="{E29EDB86-2A41-470A-9F7C-84B16415A7F2}">
          <x14:formula1>
            <xm:f>IF($E$9=マスタ!$M$2,マスタ!$S$2:$S$7,マスタ!$S$8)</xm:f>
          </x14:formula1>
          <xm:sqref>E12</xm:sqref>
        </x14:dataValidation>
        <x14:dataValidation type="list" allowBlank="1" showInputMessage="1" showErrorMessage="1" xr:uid="{04D5463E-EB6E-4573-90EE-947C554DE2F6}">
          <x14:formula1>
            <xm:f>IF($E$9=マスタ!$M$3,マスタ!$S$8,マスタ!$S$2:$S$7)</xm:f>
          </x14:formula1>
          <xm:sqref>E12</xm:sqref>
        </x14:dataValidation>
        <x14:dataValidation type="list" allowBlank="1" showInputMessage="1" showErrorMessage="1" xr:uid="{57D4B31B-A9C6-464A-80C6-8443A654EE12}">
          <x14:formula1>
            <xm:f>IF(#REF!=マスタ!$A$2,マスタ!$Q$5,IF($E$10=マスタ!$O$2,マスタ!$Q$5,IF($E$9=マスタ!$M$2,マスタ!$S$2:$S$7,マスタ!$S$8)))</xm:f>
          </x14:formula1>
          <xm:sqref>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14"/>
  <sheetViews>
    <sheetView zoomScale="150" zoomScaleNormal="150" workbookViewId="0">
      <selection activeCell="E8" sqref="E8"/>
    </sheetView>
  </sheetViews>
  <sheetFormatPr defaultColWidth="8.625" defaultRowHeight="14.25" x14ac:dyDescent="0.4"/>
  <cols>
    <col min="1" max="1" width="9.625" style="2" bestFit="1" customWidth="1"/>
    <col min="2" max="2" width="3.125" style="2" bestFit="1" customWidth="1"/>
    <col min="3" max="3" width="14.375" style="2" bestFit="1" customWidth="1"/>
    <col min="4" max="4" width="3.125" style="2" bestFit="1" customWidth="1"/>
    <col min="5" max="5" width="12.5" style="2" bestFit="1" customWidth="1"/>
    <col min="6" max="6" width="3.125" style="2" bestFit="1" customWidth="1"/>
    <col min="7" max="7" width="12.5" style="2" bestFit="1" customWidth="1"/>
    <col min="8" max="8" width="3.125" style="2" bestFit="1" customWidth="1"/>
    <col min="9" max="9" width="17.625" style="2" bestFit="1" customWidth="1"/>
    <col min="10" max="10" width="3.125" style="2" bestFit="1" customWidth="1"/>
    <col min="11" max="11" width="14.375" style="2" bestFit="1" customWidth="1"/>
    <col min="12" max="12" width="3.125" style="2" bestFit="1" customWidth="1"/>
    <col min="13" max="13" width="16.125" style="2" bestFit="1" customWidth="1"/>
    <col min="14" max="14" width="3.125" style="2" bestFit="1" customWidth="1"/>
    <col min="15" max="15" width="16.5" style="2" bestFit="1" customWidth="1"/>
    <col min="16" max="16" width="3.125" style="2" bestFit="1" customWidth="1"/>
    <col min="17" max="17" width="10.625" style="2" bestFit="1" customWidth="1"/>
    <col min="18" max="18" width="3.125" style="2" bestFit="1" customWidth="1"/>
    <col min="19" max="19" width="17.125" style="2" bestFit="1" customWidth="1"/>
    <col min="20" max="20" width="3.125" style="2" bestFit="1" customWidth="1"/>
    <col min="21" max="21" width="21" style="2" bestFit="1" customWidth="1"/>
    <col min="22" max="22" width="3.125" style="2" bestFit="1" customWidth="1"/>
    <col min="23" max="23" width="17.375" style="2" bestFit="1" customWidth="1"/>
    <col min="24" max="24" width="3.125" style="2" bestFit="1" customWidth="1"/>
    <col min="25" max="25" width="30.375" style="2" bestFit="1" customWidth="1"/>
    <col min="26" max="26" width="3.125" style="2" bestFit="1" customWidth="1"/>
    <col min="27" max="27" width="17.25" style="2" bestFit="1" customWidth="1"/>
    <col min="28" max="28" width="3.125" style="2" bestFit="1" customWidth="1"/>
    <col min="29" max="16384" width="8.625" style="2"/>
  </cols>
  <sheetData>
    <row r="1" spans="1:37" s="3" customFormat="1" x14ac:dyDescent="0.4">
      <c r="A1" s="1" t="s">
        <v>75</v>
      </c>
      <c r="B1" s="1" t="s">
        <v>5</v>
      </c>
      <c r="C1" s="1" t="s">
        <v>77</v>
      </c>
      <c r="D1" s="1" t="s">
        <v>5</v>
      </c>
      <c r="E1" s="1" t="s">
        <v>78</v>
      </c>
      <c r="F1" s="1" t="s">
        <v>5</v>
      </c>
      <c r="G1" s="1" t="s">
        <v>79</v>
      </c>
      <c r="H1" s="1" t="s">
        <v>5</v>
      </c>
      <c r="I1" s="1" t="s">
        <v>80</v>
      </c>
      <c r="J1" s="1" t="s">
        <v>5</v>
      </c>
      <c r="K1" s="1" t="s">
        <v>90</v>
      </c>
      <c r="L1" s="1" t="s">
        <v>5</v>
      </c>
      <c r="M1" s="1" t="s">
        <v>93</v>
      </c>
      <c r="N1" s="1" t="s">
        <v>5</v>
      </c>
      <c r="O1" s="1" t="s">
        <v>23</v>
      </c>
      <c r="P1" s="1" t="s">
        <v>5</v>
      </c>
      <c r="Q1" s="1" t="s">
        <v>24</v>
      </c>
      <c r="R1" s="1" t="s">
        <v>5</v>
      </c>
      <c r="S1" s="1" t="s">
        <v>94</v>
      </c>
      <c r="T1" s="1" t="s">
        <v>5</v>
      </c>
      <c r="U1" s="1" t="s">
        <v>25</v>
      </c>
      <c r="V1" s="1" t="s">
        <v>5</v>
      </c>
      <c r="W1" s="1" t="s">
        <v>26</v>
      </c>
      <c r="X1" s="1" t="s">
        <v>5</v>
      </c>
      <c r="Y1" s="1" t="s">
        <v>54</v>
      </c>
      <c r="Z1" s="1" t="s">
        <v>5</v>
      </c>
      <c r="AA1" s="1" t="s">
        <v>70</v>
      </c>
      <c r="AB1" s="1" t="s">
        <v>5</v>
      </c>
      <c r="AC1" s="2"/>
      <c r="AD1" s="2"/>
      <c r="AE1" s="2"/>
      <c r="AF1" s="2"/>
      <c r="AG1" s="2"/>
      <c r="AH1" s="2"/>
      <c r="AI1" s="2"/>
      <c r="AJ1" s="2"/>
      <c r="AK1" s="2"/>
    </row>
    <row r="2" spans="1:37" s="3" customFormat="1" x14ac:dyDescent="0.4">
      <c r="A2" s="2" t="s">
        <v>76</v>
      </c>
      <c r="B2" s="2" t="str">
        <f>IF(LEFT(A2,1)&lt;&gt;"-",LEFT(A2,1),"N")</f>
        <v>0</v>
      </c>
      <c r="C2" s="2" t="s">
        <v>27</v>
      </c>
      <c r="D2" s="2" t="str">
        <f>IF(LEFT(C2,1)&lt;&gt;"-",LEFT(C2,1),"N")</f>
        <v>0</v>
      </c>
      <c r="E2" s="2" t="s">
        <v>18</v>
      </c>
      <c r="F2" s="2" t="str">
        <f>IF(LEFT(E2,1)&lt;&gt;"-",LEFT(E2,1),"N")</f>
        <v>0</v>
      </c>
      <c r="G2" s="2" t="s">
        <v>28</v>
      </c>
      <c r="H2" s="2" t="str">
        <f>IF(LEFT(G2,1)&lt;&gt;"-",LEFT(G2,1),"N")</f>
        <v>0</v>
      </c>
      <c r="I2" s="2" t="s">
        <v>20</v>
      </c>
      <c r="J2" s="2" t="str">
        <f>IF(LEFT(I2,1)&lt;&gt;"-",LEFT(I2,1),"N")</f>
        <v>0</v>
      </c>
      <c r="K2" s="2" t="s">
        <v>91</v>
      </c>
      <c r="L2" s="2" t="str">
        <f>IF(LEFT(K2,1)&lt;&gt;"-",LEFT(K2,1),"N")</f>
        <v>0</v>
      </c>
      <c r="M2" s="2" t="s">
        <v>29</v>
      </c>
      <c r="N2" s="2" t="str">
        <f>IF(LEFT(M2,1)&lt;&gt;"-",LEFT(M2,1),"N")</f>
        <v>0</v>
      </c>
      <c r="O2" s="2" t="s">
        <v>17</v>
      </c>
      <c r="P2" s="2" t="str">
        <f>IF(LEFT(O2,1)&lt;&gt;"-",LEFT(O2,1),"N")</f>
        <v>0</v>
      </c>
      <c r="Q2" s="2" t="s">
        <v>18</v>
      </c>
      <c r="R2" s="2" t="str">
        <f>IF(LEFT(Q2,1)&lt;&gt;"-",LEFT(Q2,1),"N")</f>
        <v>0</v>
      </c>
      <c r="S2" s="2" t="s">
        <v>30</v>
      </c>
      <c r="T2" s="2" t="str">
        <f>IF(LEFT(S2,1)&lt;&gt;"-",LEFT(S2,1),"N")</f>
        <v>0</v>
      </c>
      <c r="U2" s="2" t="s">
        <v>31</v>
      </c>
      <c r="V2" s="2" t="str">
        <f>IF(LEFT(U2,1)&lt;&gt;"-",LEFT(U2,1),"N")</f>
        <v>0</v>
      </c>
      <c r="W2" s="2" t="s">
        <v>32</v>
      </c>
      <c r="X2" s="2" t="str">
        <f>IF(LEFT(W2,1)&lt;&gt;"-",LEFT(W2,1),"N")</f>
        <v>0</v>
      </c>
      <c r="Y2" s="2" t="s">
        <v>58</v>
      </c>
      <c r="Z2" s="2" t="str">
        <f>IF(LEFT(Y2,1)&lt;&gt;"-",LEFT(Y2,1),"N")</f>
        <v>0</v>
      </c>
      <c r="AA2" s="2" t="s">
        <v>71</v>
      </c>
      <c r="AB2" s="2" t="str">
        <f>IF(LEFT(AA2,1)&lt;&gt;"-",LEFT(AA2,1),"N")</f>
        <v>0</v>
      </c>
      <c r="AC2" s="2"/>
      <c r="AD2" s="2"/>
      <c r="AE2" s="2"/>
      <c r="AF2" s="2"/>
      <c r="AG2" s="2"/>
      <c r="AH2" s="2"/>
      <c r="AI2" s="2"/>
      <c r="AJ2" s="2"/>
      <c r="AK2" s="2"/>
    </row>
    <row r="3" spans="1:37" s="3" customFormat="1" x14ac:dyDescent="0.4">
      <c r="A3" s="2" t="s">
        <v>67</v>
      </c>
      <c r="B3" s="2" t="str">
        <f>IF(LEFT(A3,1)&lt;&gt;"-",LEFT(A3,1),"N")</f>
        <v>1</v>
      </c>
      <c r="C3" s="2" t="s">
        <v>33</v>
      </c>
      <c r="D3" s="2" t="str">
        <f>IF(LEFT(C3,1)&lt;&gt;"-",LEFT(C3,1),"N")</f>
        <v>1</v>
      </c>
      <c r="E3" s="2" t="s">
        <v>34</v>
      </c>
      <c r="F3" s="2" t="str">
        <f>IF(LEFT(E3,1)&lt;&gt;"-",LEFT(E3,1),"N")</f>
        <v>1</v>
      </c>
      <c r="G3" s="2" t="s">
        <v>35</v>
      </c>
      <c r="H3" s="2" t="str">
        <f>IF(LEFT(G3,1)&lt;&gt;"-",LEFT(G3,1),"N")</f>
        <v>1</v>
      </c>
      <c r="I3" s="2" t="s">
        <v>21</v>
      </c>
      <c r="J3" s="2" t="str">
        <f>IF(LEFT(I3,1)&lt;&gt;"-",LEFT(I3,1),"N")</f>
        <v>1</v>
      </c>
      <c r="K3" s="2" t="s">
        <v>92</v>
      </c>
      <c r="L3" s="2" t="str">
        <f>IF(LEFT(K3,1)&lt;&gt;"-",LEFT(K3,1),"N")</f>
        <v>1</v>
      </c>
      <c r="M3" s="2" t="s">
        <v>36</v>
      </c>
      <c r="N3" s="2" t="str">
        <f>IF(LEFT(M3,1)&lt;&gt;"-",LEFT(M3,1),"N")</f>
        <v>1</v>
      </c>
      <c r="O3" s="2" t="s">
        <v>95</v>
      </c>
      <c r="P3" s="2" t="str">
        <f>IF(LEFT(O3,1)&lt;&gt;"-",LEFT(O3,1),"N")</f>
        <v>1</v>
      </c>
      <c r="Q3" s="2" t="s">
        <v>34</v>
      </c>
      <c r="R3" s="2" t="str">
        <f>IF(LEFT(Q3,1)&lt;&gt;"-",LEFT(Q3,1),"N")</f>
        <v>1</v>
      </c>
      <c r="S3" s="2" t="s">
        <v>37</v>
      </c>
      <c r="T3" s="2" t="str">
        <f>IF(LEFT(S3,1)&lt;&gt;"-",LEFT(S3,1),"N")</f>
        <v>1</v>
      </c>
      <c r="U3" s="2" t="s">
        <v>38</v>
      </c>
      <c r="V3" s="2" t="str">
        <f>IF(LEFT(U3,1)&lt;&gt;"-",LEFT(U3,1),"N")</f>
        <v>1</v>
      </c>
      <c r="W3" s="2" t="s">
        <v>39</v>
      </c>
      <c r="X3" s="2" t="str">
        <f>IF(LEFT(W3,1)&lt;&gt;"-",LEFT(W3,1),"N")</f>
        <v>1</v>
      </c>
      <c r="Y3" s="2" t="s">
        <v>59</v>
      </c>
      <c r="Z3" s="2" t="str">
        <f>IF(LEFT(Y3,1)&lt;&gt;"-",LEFT(Y3,1),"N")</f>
        <v>1</v>
      </c>
      <c r="AA3" s="2" t="s">
        <v>72</v>
      </c>
      <c r="AB3" s="2" t="str">
        <f>IF(LEFT(AA3,1)&lt;&gt;"-",LEFT(AA3,1),"N")</f>
        <v>1</v>
      </c>
      <c r="AC3" s="2"/>
      <c r="AD3" s="2"/>
      <c r="AE3" s="2"/>
      <c r="AF3" s="2"/>
      <c r="AG3" s="2"/>
      <c r="AH3" s="2"/>
      <c r="AI3" s="2"/>
      <c r="AJ3" s="2"/>
      <c r="AK3" s="2"/>
    </row>
    <row r="4" spans="1:37" s="3" customFormat="1" x14ac:dyDescent="0.4">
      <c r="A4" s="2"/>
      <c r="B4" s="2"/>
      <c r="C4" s="2" t="s">
        <v>120</v>
      </c>
      <c r="D4" s="2" t="str">
        <f t="shared" ref="D4:F14" si="0">IF(LEFT(C4,1)&lt;&gt;"-",LEFT(C4,1),"N")</f>
        <v>N</v>
      </c>
      <c r="E4" s="2" t="s">
        <v>22</v>
      </c>
      <c r="F4" s="2" t="str">
        <f t="shared" si="0"/>
        <v>2</v>
      </c>
      <c r="G4" s="2" t="s">
        <v>120</v>
      </c>
      <c r="H4" s="2" t="str">
        <f t="shared" ref="H4" si="1">IF(LEFT(G4,1)&lt;&gt;"-",LEFT(G4,1),"N")</f>
        <v>N</v>
      </c>
      <c r="I4" s="2" t="s">
        <v>40</v>
      </c>
      <c r="J4" s="2" t="str">
        <f t="shared" ref="J4" si="2">IF(LEFT(I4,1)&lt;&gt;"-",LEFT(I4,1),"N")</f>
        <v>2</v>
      </c>
      <c r="K4" s="2" t="s">
        <v>120</v>
      </c>
      <c r="L4" s="2" t="str">
        <f t="shared" ref="L4" si="3">IF(LEFT(K4,1)&lt;&gt;"-",LEFT(K4,1),"N")</f>
        <v>N</v>
      </c>
      <c r="M4" s="2" t="s">
        <v>120</v>
      </c>
      <c r="N4" s="2" t="str">
        <f t="shared" ref="N4" si="4">IF(LEFT(M4,1)&lt;&gt;"-",LEFT(M4,1),"N")</f>
        <v>N</v>
      </c>
      <c r="O4" s="2" t="s">
        <v>96</v>
      </c>
      <c r="P4" s="2" t="str">
        <f t="shared" ref="P4" si="5">IF(LEFT(O4,1)&lt;&gt;"-",LEFT(O4,1),"N")</f>
        <v>2</v>
      </c>
      <c r="Q4" s="2" t="s">
        <v>22</v>
      </c>
      <c r="R4" s="2" t="str">
        <f t="shared" ref="R4" si="6">IF(LEFT(Q4,1)&lt;&gt;"-",LEFT(Q4,1),"N")</f>
        <v>2</v>
      </c>
      <c r="S4" s="2" t="s">
        <v>41</v>
      </c>
      <c r="T4" s="2" t="str">
        <f t="shared" ref="T4" si="7">IF(LEFT(S4,1)&lt;&gt;"-",LEFT(S4,1),"N")</f>
        <v>2</v>
      </c>
      <c r="U4" s="2" t="s">
        <v>42</v>
      </c>
      <c r="V4" s="2" t="str">
        <f t="shared" ref="V4" si="8">IF(LEFT(U4,1)&lt;&gt;"-",LEFT(U4,1),"N")</f>
        <v>2</v>
      </c>
      <c r="W4" s="2" t="s">
        <v>43</v>
      </c>
      <c r="X4" s="2" t="str">
        <f t="shared" ref="X4" si="9">IF(LEFT(W4,1)&lt;&gt;"-",LEFT(W4,1),"N")</f>
        <v>2</v>
      </c>
      <c r="Y4" s="2" t="s">
        <v>60</v>
      </c>
      <c r="Z4" s="2" t="str">
        <f t="shared" ref="Z4" si="10">IF(LEFT(Y4,1)&lt;&gt;"-",LEFT(Y4,1),"N")</f>
        <v>2</v>
      </c>
      <c r="AA4" s="2" t="s">
        <v>120</v>
      </c>
      <c r="AB4" s="2" t="str">
        <f t="shared" ref="AB4" si="11">IF(LEFT(AA4,1)&lt;&gt;"-",LEFT(AA4,1),"N")</f>
        <v>N</v>
      </c>
      <c r="AC4" s="2"/>
      <c r="AD4" s="2"/>
      <c r="AE4" s="2"/>
      <c r="AF4" s="2"/>
      <c r="AG4" s="2"/>
      <c r="AH4" s="2"/>
      <c r="AI4" s="2"/>
      <c r="AJ4" s="2"/>
      <c r="AK4" s="2"/>
    </row>
    <row r="5" spans="1:37" x14ac:dyDescent="0.4">
      <c r="D5" s="2" t="str">
        <f t="shared" si="0"/>
        <v/>
      </c>
      <c r="E5" s="2" t="s">
        <v>120</v>
      </c>
      <c r="F5" s="2" t="str">
        <f t="shared" si="0"/>
        <v>N</v>
      </c>
      <c r="H5" s="2" t="str">
        <f t="shared" ref="H5" si="12">IF(LEFT(G5,1)&lt;&gt;"-",LEFT(G5,1),"N")</f>
        <v/>
      </c>
      <c r="I5" s="2" t="s">
        <v>44</v>
      </c>
      <c r="J5" s="2" t="str">
        <f t="shared" ref="J5" si="13">IF(LEFT(I5,1)&lt;&gt;"-",LEFT(I5,1),"N")</f>
        <v>3</v>
      </c>
      <c r="L5" s="2" t="str">
        <f t="shared" ref="L5" si="14">IF(LEFT(K5,1)&lt;&gt;"-",LEFT(K5,1),"N")</f>
        <v/>
      </c>
      <c r="N5" s="2" t="str">
        <f t="shared" ref="N5" si="15">IF(LEFT(M5,1)&lt;&gt;"-",LEFT(M5,1),"N")</f>
        <v/>
      </c>
      <c r="O5" s="2" t="s">
        <v>97</v>
      </c>
      <c r="P5" s="2" t="str">
        <f t="shared" ref="P5" si="16">IF(LEFT(O5,1)&lt;&gt;"-",LEFT(O5,1),"N")</f>
        <v>3</v>
      </c>
      <c r="Q5" s="2" t="s">
        <v>120</v>
      </c>
      <c r="R5" s="2" t="str">
        <f t="shared" ref="R5" si="17">IF(LEFT(Q5,1)&lt;&gt;"-",LEFT(Q5,1),"N")</f>
        <v>N</v>
      </c>
      <c r="S5" s="2" t="s">
        <v>45</v>
      </c>
      <c r="T5" s="2" t="str">
        <f t="shared" ref="T5" si="18">IF(LEFT(S5,1)&lt;&gt;"-",LEFT(S5,1),"N")</f>
        <v>3</v>
      </c>
      <c r="U5" s="2" t="s">
        <v>46</v>
      </c>
      <c r="V5" s="2" t="str">
        <f t="shared" ref="V5" si="19">IF(LEFT(U5,1)&lt;&gt;"-",LEFT(U5,1),"N")</f>
        <v>3</v>
      </c>
      <c r="W5" s="2" t="s">
        <v>47</v>
      </c>
      <c r="X5" s="2" t="str">
        <f t="shared" ref="X5" si="20">IF(LEFT(W5,1)&lt;&gt;"-",LEFT(W5,1),"N")</f>
        <v>3</v>
      </c>
      <c r="Y5" s="2" t="s">
        <v>61</v>
      </c>
      <c r="Z5" s="2" t="str">
        <f t="shared" ref="Z5" si="21">IF(LEFT(Y5,1)&lt;&gt;"-",LEFT(Y5,1),"N")</f>
        <v>3</v>
      </c>
      <c r="AB5" s="2" t="str">
        <f t="shared" ref="AB5" si="22">IF(LEFT(AA5,1)&lt;&gt;"-",LEFT(AA5,1),"N")</f>
        <v/>
      </c>
    </row>
    <row r="6" spans="1:37" x14ac:dyDescent="0.4">
      <c r="D6" s="2" t="str">
        <f t="shared" si="0"/>
        <v/>
      </c>
      <c r="F6" s="2" t="str">
        <f t="shared" si="0"/>
        <v/>
      </c>
      <c r="H6" s="2" t="str">
        <f t="shared" ref="H6" si="23">IF(LEFT(G6,1)&lt;&gt;"-",LEFT(G6,1),"N")</f>
        <v/>
      </c>
      <c r="I6" s="2" t="s">
        <v>48</v>
      </c>
      <c r="J6" s="2" t="str">
        <f t="shared" ref="J6" si="24">IF(LEFT(I6,1)&lt;&gt;"-",LEFT(I6,1),"N")</f>
        <v>4</v>
      </c>
      <c r="L6" s="2" t="str">
        <f t="shared" ref="L6" si="25">IF(LEFT(K6,1)&lt;&gt;"-",LEFT(K6,1),"N")</f>
        <v/>
      </c>
      <c r="N6" s="2" t="str">
        <f t="shared" ref="N6" si="26">IF(LEFT(M6,1)&lt;&gt;"-",LEFT(M6,1),"N")</f>
        <v/>
      </c>
      <c r="O6" s="2" t="s">
        <v>98</v>
      </c>
      <c r="P6" s="2" t="str">
        <f t="shared" ref="P6" si="27">IF(LEFT(O6,1)&lt;&gt;"-",LEFT(O6,1),"N")</f>
        <v>4</v>
      </c>
      <c r="R6" s="2" t="str">
        <f t="shared" ref="R6" si="28">IF(LEFT(Q6,1)&lt;&gt;"-",LEFT(Q6,1),"N")</f>
        <v/>
      </c>
      <c r="S6" s="2" t="s">
        <v>49</v>
      </c>
      <c r="T6" s="2" t="str">
        <f t="shared" ref="T6" si="29">IF(LEFT(S6,1)&lt;&gt;"-",LEFT(S6,1),"N")</f>
        <v>4</v>
      </c>
      <c r="U6" s="2" t="s">
        <v>120</v>
      </c>
      <c r="V6" s="2" t="str">
        <f t="shared" ref="V6" si="30">IF(LEFT(U6,1)&lt;&gt;"-",LEFT(U6,1),"N")</f>
        <v>N</v>
      </c>
      <c r="W6" s="2" t="s">
        <v>120</v>
      </c>
      <c r="X6" s="2" t="str">
        <f t="shared" ref="X6" si="31">IF(LEFT(W6,1)&lt;&gt;"-",LEFT(W6,1),"N")</f>
        <v>N</v>
      </c>
      <c r="Y6" s="2" t="s">
        <v>62</v>
      </c>
      <c r="Z6" s="2" t="str">
        <f t="shared" ref="Z6" si="32">IF(LEFT(Y6,1)&lt;&gt;"-",LEFT(Y6,1),"N")</f>
        <v>4</v>
      </c>
      <c r="AB6" s="2" t="str">
        <f t="shared" ref="AB6" si="33">IF(LEFT(AA6,1)&lt;&gt;"-",LEFT(AA6,1),"N")</f>
        <v/>
      </c>
    </row>
    <row r="7" spans="1:37" x14ac:dyDescent="0.4">
      <c r="D7" s="2" t="str">
        <f t="shared" si="0"/>
        <v/>
      </c>
      <c r="F7" s="2" t="str">
        <f t="shared" si="0"/>
        <v/>
      </c>
      <c r="H7" s="2" t="str">
        <f t="shared" ref="H7" si="34">IF(LEFT(G7,1)&lt;&gt;"-",LEFT(G7,1),"N")</f>
        <v/>
      </c>
      <c r="I7" s="2" t="s">
        <v>50</v>
      </c>
      <c r="J7" s="2" t="str">
        <f t="shared" ref="J7" si="35">IF(LEFT(I7,1)&lt;&gt;"-",LEFT(I7,1),"N")</f>
        <v>5</v>
      </c>
      <c r="L7" s="2" t="str">
        <f t="shared" ref="L7" si="36">IF(LEFT(K7,1)&lt;&gt;"-",LEFT(K7,1),"N")</f>
        <v/>
      </c>
      <c r="N7" s="2" t="str">
        <f t="shared" ref="N7" si="37">IF(LEFT(M7,1)&lt;&gt;"-",LEFT(M7,1),"N")</f>
        <v/>
      </c>
      <c r="O7" s="2" t="s">
        <v>115</v>
      </c>
      <c r="P7" s="2" t="str">
        <f t="shared" ref="P7" si="38">IF(LEFT(O7,1)&lt;&gt;"-",LEFT(O7,1),"N")</f>
        <v>5</v>
      </c>
      <c r="R7" s="2" t="str">
        <f t="shared" ref="R7" si="39">IF(LEFT(Q7,1)&lt;&gt;"-",LEFT(Q7,1),"N")</f>
        <v/>
      </c>
      <c r="S7" s="2" t="s">
        <v>51</v>
      </c>
      <c r="T7" s="2" t="str">
        <f t="shared" ref="T7" si="40">IF(LEFT(S7,1)&lt;&gt;"-",LEFT(S7,1),"N")</f>
        <v>5</v>
      </c>
      <c r="V7" s="2" t="str">
        <f t="shared" ref="V7" si="41">IF(LEFT(U7,1)&lt;&gt;"-",LEFT(U7,1),"N")</f>
        <v/>
      </c>
      <c r="X7" s="2" t="str">
        <f t="shared" ref="X7" si="42">IF(LEFT(W7,1)&lt;&gt;"-",LEFT(W7,1),"N")</f>
        <v/>
      </c>
      <c r="Y7" s="2" t="s">
        <v>63</v>
      </c>
      <c r="Z7" s="2" t="str">
        <f t="shared" ref="Z7" si="43">IF(LEFT(Y7,1)&lt;&gt;"-",LEFT(Y7,1),"N")</f>
        <v>5</v>
      </c>
      <c r="AB7" s="2" t="str">
        <f t="shared" ref="AB7" si="44">IF(LEFT(AA7,1)&lt;&gt;"-",LEFT(AA7,1),"N")</f>
        <v/>
      </c>
    </row>
    <row r="8" spans="1:37" x14ac:dyDescent="0.4">
      <c r="D8" s="2" t="str">
        <f t="shared" si="0"/>
        <v/>
      </c>
      <c r="F8" s="2" t="str">
        <f t="shared" si="0"/>
        <v/>
      </c>
      <c r="H8" s="2" t="str">
        <f t="shared" ref="H8" si="45">IF(LEFT(G8,1)&lt;&gt;"-",LEFT(G8,1),"N")</f>
        <v/>
      </c>
      <c r="I8" s="2" t="s">
        <v>52</v>
      </c>
      <c r="J8" s="2" t="str">
        <f t="shared" ref="J8" si="46">IF(LEFT(I8,1)&lt;&gt;"-",LEFT(I8,1),"N")</f>
        <v>6</v>
      </c>
      <c r="L8" s="2" t="str">
        <f t="shared" ref="L8" si="47">IF(LEFT(K8,1)&lt;&gt;"-",LEFT(K8,1),"N")</f>
        <v/>
      </c>
      <c r="N8" s="2" t="str">
        <f t="shared" ref="N8" si="48">IF(LEFT(M8,1)&lt;&gt;"-",LEFT(M8,1),"N")</f>
        <v/>
      </c>
      <c r="O8" s="2" t="s">
        <v>116</v>
      </c>
      <c r="P8" s="2" t="str">
        <f t="shared" ref="P8" si="49">IF(LEFT(O8,1)&lt;&gt;"-",LEFT(O8,1),"N")</f>
        <v>6</v>
      </c>
      <c r="R8" s="2" t="str">
        <f t="shared" ref="R8" si="50">IF(LEFT(Q8,1)&lt;&gt;"-",LEFT(Q8,1),"N")</f>
        <v/>
      </c>
      <c r="S8" s="2" t="s">
        <v>120</v>
      </c>
      <c r="T8" s="2" t="str">
        <f t="shared" ref="T8" si="51">IF(LEFT(S8,1)&lt;&gt;"-",LEFT(S8,1),"N")</f>
        <v>N</v>
      </c>
      <c r="V8" s="2" t="str">
        <f t="shared" ref="V8" si="52">IF(LEFT(U8,1)&lt;&gt;"-",LEFT(U8,1),"N")</f>
        <v/>
      </c>
      <c r="X8" s="2" t="str">
        <f t="shared" ref="X8" si="53">IF(LEFT(W8,1)&lt;&gt;"-",LEFT(W8,1),"N")</f>
        <v/>
      </c>
      <c r="Y8" s="2" t="s">
        <v>64</v>
      </c>
      <c r="Z8" s="2" t="str">
        <f t="shared" ref="Z8" si="54">IF(LEFT(Y8,1)&lt;&gt;"-",LEFT(Y8,1),"N")</f>
        <v>6</v>
      </c>
      <c r="AB8" s="2" t="str">
        <f t="shared" ref="AB8" si="55">IF(LEFT(AA8,1)&lt;&gt;"-",LEFT(AA8,1),"N")</f>
        <v/>
      </c>
    </row>
    <row r="9" spans="1:37" x14ac:dyDescent="0.4">
      <c r="D9" s="2" t="str">
        <f t="shared" si="0"/>
        <v/>
      </c>
      <c r="F9" s="2" t="str">
        <f t="shared" si="0"/>
        <v/>
      </c>
      <c r="H9" s="2" t="str">
        <f t="shared" ref="H9" si="56">IF(LEFT(G9,1)&lt;&gt;"-",LEFT(G9,1),"N")</f>
        <v/>
      </c>
      <c r="I9" s="2" t="s">
        <v>120</v>
      </c>
      <c r="J9" s="2" t="str">
        <f t="shared" ref="J9" si="57">IF(LEFT(I9,1)&lt;&gt;"-",LEFT(I9,1),"N")</f>
        <v>N</v>
      </c>
      <c r="L9" s="2" t="str">
        <f t="shared" ref="L9" si="58">IF(LEFT(K9,1)&lt;&gt;"-",LEFT(K9,1),"N")</f>
        <v/>
      </c>
      <c r="N9" s="2" t="str">
        <f t="shared" ref="N9" si="59">IF(LEFT(M9,1)&lt;&gt;"-",LEFT(M9,1),"N")</f>
        <v/>
      </c>
      <c r="O9" s="2" t="s">
        <v>117</v>
      </c>
      <c r="P9" s="2" t="str">
        <f t="shared" ref="P9" si="60">IF(LEFT(O9,1)&lt;&gt;"-",LEFT(O9,1),"N")</f>
        <v>7</v>
      </c>
      <c r="R9" s="2" t="str">
        <f t="shared" ref="R9" si="61">IF(LEFT(Q9,1)&lt;&gt;"-",LEFT(Q9,1),"N")</f>
        <v/>
      </c>
      <c r="T9" s="2" t="str">
        <f t="shared" ref="T9" si="62">IF(LEFT(S9,1)&lt;&gt;"-",LEFT(S9,1),"N")</f>
        <v/>
      </c>
      <c r="V9" s="2" t="str">
        <f t="shared" ref="V9" si="63">IF(LEFT(U9,1)&lt;&gt;"-",LEFT(U9,1),"N")</f>
        <v/>
      </c>
      <c r="X9" s="2" t="str">
        <f t="shared" ref="X9" si="64">IF(LEFT(W9,1)&lt;&gt;"-",LEFT(W9,1),"N")</f>
        <v/>
      </c>
      <c r="Y9" s="2" t="s">
        <v>120</v>
      </c>
      <c r="Z9" s="2" t="str">
        <f t="shared" ref="Z9" si="65">IF(LEFT(Y9,1)&lt;&gt;"-",LEFT(Y9,1),"N")</f>
        <v>N</v>
      </c>
      <c r="AB9" s="2" t="str">
        <f t="shared" ref="AB9" si="66">IF(LEFT(AA9,1)&lt;&gt;"-",LEFT(AA9,1),"N")</f>
        <v/>
      </c>
    </row>
    <row r="10" spans="1:37" x14ac:dyDescent="0.4">
      <c r="D10" s="2" t="str">
        <f t="shared" si="0"/>
        <v/>
      </c>
      <c r="F10" s="2" t="str">
        <f t="shared" si="0"/>
        <v/>
      </c>
      <c r="H10" s="2" t="str">
        <f t="shared" ref="H10" si="67">IF(LEFT(G10,1)&lt;&gt;"-",LEFT(G10,1),"N")</f>
        <v/>
      </c>
      <c r="J10" s="2" t="str">
        <f t="shared" ref="J10" si="68">IF(LEFT(I10,1)&lt;&gt;"-",LEFT(I10,1),"N")</f>
        <v/>
      </c>
      <c r="L10" s="2" t="str">
        <f t="shared" ref="L10" si="69">IF(LEFT(K10,1)&lt;&gt;"-",LEFT(K10,1),"N")</f>
        <v/>
      </c>
      <c r="N10" s="2" t="str">
        <f t="shared" ref="N10" si="70">IF(LEFT(M10,1)&lt;&gt;"-",LEFT(M10,1),"N")</f>
        <v/>
      </c>
      <c r="O10" s="2" t="s">
        <v>120</v>
      </c>
      <c r="P10" s="2" t="str">
        <f t="shared" ref="P10" si="71">IF(LEFT(O10,1)&lt;&gt;"-",LEFT(O10,1),"N")</f>
        <v>N</v>
      </c>
      <c r="R10" s="2" t="str">
        <f t="shared" ref="R10" si="72">IF(LEFT(Q10,1)&lt;&gt;"-",LEFT(Q10,1),"N")</f>
        <v/>
      </c>
      <c r="T10" s="2" t="str">
        <f t="shared" ref="T10" si="73">IF(LEFT(S10,1)&lt;&gt;"-",LEFT(S10,1),"N")</f>
        <v/>
      </c>
      <c r="V10" s="2" t="str">
        <f t="shared" ref="V10" si="74">IF(LEFT(U10,1)&lt;&gt;"-",LEFT(U10,1),"N")</f>
        <v/>
      </c>
      <c r="X10" s="2" t="str">
        <f t="shared" ref="X10" si="75">IF(LEFT(W10,1)&lt;&gt;"-",LEFT(W10,1),"N")</f>
        <v/>
      </c>
      <c r="Z10" s="2" t="str">
        <f t="shared" ref="Z10" si="76">IF(LEFT(Y10,1)&lt;&gt;"-",LEFT(Y10,1),"N")</f>
        <v/>
      </c>
      <c r="AB10" s="2" t="str">
        <f t="shared" ref="AB10" si="77">IF(LEFT(AA10,1)&lt;&gt;"-",LEFT(AA10,1),"N")</f>
        <v/>
      </c>
    </row>
    <row r="11" spans="1:37" x14ac:dyDescent="0.4">
      <c r="D11" s="2" t="str">
        <f t="shared" si="0"/>
        <v/>
      </c>
      <c r="F11" s="2" t="str">
        <f t="shared" si="0"/>
        <v/>
      </c>
      <c r="H11" s="2" t="str">
        <f t="shared" ref="H11" si="78">IF(LEFT(G11,1)&lt;&gt;"-",LEFT(G11,1),"N")</f>
        <v/>
      </c>
      <c r="J11" s="2" t="str">
        <f t="shared" ref="J11" si="79">IF(LEFT(I11,1)&lt;&gt;"-",LEFT(I11,1),"N")</f>
        <v/>
      </c>
      <c r="L11" s="2" t="str">
        <f t="shared" ref="L11" si="80">IF(LEFT(K11,1)&lt;&gt;"-",LEFT(K11,1),"N")</f>
        <v/>
      </c>
      <c r="N11" s="2" t="str">
        <f t="shared" ref="N11" si="81">IF(LEFT(M11,1)&lt;&gt;"-",LEFT(M11,1),"N")</f>
        <v/>
      </c>
      <c r="P11" s="2" t="str">
        <f t="shared" ref="P11" si="82">IF(LEFT(O11,1)&lt;&gt;"-",LEFT(O11,1),"N")</f>
        <v/>
      </c>
      <c r="R11" s="2" t="str">
        <f t="shared" ref="R11" si="83">IF(LEFT(Q11,1)&lt;&gt;"-",LEFT(Q11,1),"N")</f>
        <v/>
      </c>
      <c r="T11" s="2" t="str">
        <f t="shared" ref="T11" si="84">IF(LEFT(S11,1)&lt;&gt;"-",LEFT(S11,1),"N")</f>
        <v/>
      </c>
      <c r="V11" s="2" t="str">
        <f t="shared" ref="V11" si="85">IF(LEFT(U11,1)&lt;&gt;"-",LEFT(U11,1),"N")</f>
        <v/>
      </c>
      <c r="X11" s="2" t="str">
        <f t="shared" ref="X11" si="86">IF(LEFT(W11,1)&lt;&gt;"-",LEFT(W11,1),"N")</f>
        <v/>
      </c>
      <c r="Z11" s="2" t="str">
        <f t="shared" ref="Z11" si="87">IF(LEFT(Y11,1)&lt;&gt;"-",LEFT(Y11,1),"N")</f>
        <v/>
      </c>
      <c r="AB11" s="2" t="str">
        <f t="shared" ref="AB11" si="88">IF(LEFT(AA11,1)&lt;&gt;"-",LEFT(AA11,1),"N")</f>
        <v/>
      </c>
    </row>
    <row r="12" spans="1:37" x14ac:dyDescent="0.4">
      <c r="D12" s="2" t="str">
        <f t="shared" si="0"/>
        <v/>
      </c>
      <c r="F12" s="2" t="str">
        <f t="shared" si="0"/>
        <v/>
      </c>
      <c r="H12" s="2" t="str">
        <f t="shared" ref="H12" si="89">IF(LEFT(G12,1)&lt;&gt;"-",LEFT(G12,1),"N")</f>
        <v/>
      </c>
      <c r="J12" s="2" t="str">
        <f t="shared" ref="J12" si="90">IF(LEFT(I12,1)&lt;&gt;"-",LEFT(I12,1),"N")</f>
        <v/>
      </c>
      <c r="L12" s="2" t="str">
        <f t="shared" ref="L12" si="91">IF(LEFT(K12,1)&lt;&gt;"-",LEFT(K12,1),"N")</f>
        <v/>
      </c>
      <c r="N12" s="2" t="str">
        <f t="shared" ref="N12" si="92">IF(LEFT(M12,1)&lt;&gt;"-",LEFT(M12,1),"N")</f>
        <v/>
      </c>
      <c r="P12" s="2" t="str">
        <f t="shared" ref="P12" si="93">IF(LEFT(O12,1)&lt;&gt;"-",LEFT(O12,1),"N")</f>
        <v/>
      </c>
      <c r="R12" s="2" t="str">
        <f t="shared" ref="R12" si="94">IF(LEFT(Q12,1)&lt;&gt;"-",LEFT(Q12,1),"N")</f>
        <v/>
      </c>
      <c r="T12" s="2" t="str">
        <f t="shared" ref="T12" si="95">IF(LEFT(S12,1)&lt;&gt;"-",LEFT(S12,1),"N")</f>
        <v/>
      </c>
      <c r="V12" s="2" t="str">
        <f t="shared" ref="V12" si="96">IF(LEFT(U12,1)&lt;&gt;"-",LEFT(U12,1),"N")</f>
        <v/>
      </c>
      <c r="X12" s="2" t="str">
        <f t="shared" ref="X12" si="97">IF(LEFT(W12,1)&lt;&gt;"-",LEFT(W12,1),"N")</f>
        <v/>
      </c>
      <c r="Z12" s="2" t="str">
        <f t="shared" ref="Z12" si="98">IF(LEFT(Y12,1)&lt;&gt;"-",LEFT(Y12,1),"N")</f>
        <v/>
      </c>
      <c r="AB12" s="2" t="str">
        <f t="shared" ref="AB12" si="99">IF(LEFT(AA12,1)&lt;&gt;"-",LEFT(AA12,1),"N")</f>
        <v/>
      </c>
    </row>
    <row r="13" spans="1:37" x14ac:dyDescent="0.4">
      <c r="D13" s="2" t="str">
        <f t="shared" si="0"/>
        <v/>
      </c>
      <c r="F13" s="2" t="str">
        <f t="shared" si="0"/>
        <v/>
      </c>
      <c r="H13" s="2" t="str">
        <f t="shared" ref="H13" si="100">IF(LEFT(G13,1)&lt;&gt;"-",LEFT(G13,1),"N")</f>
        <v/>
      </c>
      <c r="J13" s="2" t="str">
        <f t="shared" ref="J13" si="101">IF(LEFT(I13,1)&lt;&gt;"-",LEFT(I13,1),"N")</f>
        <v/>
      </c>
      <c r="L13" s="2" t="str">
        <f t="shared" ref="L13" si="102">IF(LEFT(K13,1)&lt;&gt;"-",LEFT(K13,1),"N")</f>
        <v/>
      </c>
      <c r="N13" s="2" t="str">
        <f t="shared" ref="N13" si="103">IF(LEFT(M13,1)&lt;&gt;"-",LEFT(M13,1),"N")</f>
        <v/>
      </c>
      <c r="P13" s="2" t="str">
        <f t="shared" ref="P13" si="104">IF(LEFT(O13,1)&lt;&gt;"-",LEFT(O13,1),"N")</f>
        <v/>
      </c>
      <c r="R13" s="2" t="str">
        <f t="shared" ref="R13" si="105">IF(LEFT(Q13,1)&lt;&gt;"-",LEFT(Q13,1),"N")</f>
        <v/>
      </c>
      <c r="T13" s="2" t="str">
        <f t="shared" ref="T13" si="106">IF(LEFT(S13,1)&lt;&gt;"-",LEFT(S13,1),"N")</f>
        <v/>
      </c>
      <c r="V13" s="2" t="str">
        <f t="shared" ref="V13" si="107">IF(LEFT(U13,1)&lt;&gt;"-",LEFT(U13,1),"N")</f>
        <v/>
      </c>
      <c r="X13" s="2" t="str">
        <f t="shared" ref="X13" si="108">IF(LEFT(W13,1)&lt;&gt;"-",LEFT(W13,1),"N")</f>
        <v/>
      </c>
      <c r="Z13" s="2" t="str">
        <f t="shared" ref="Z13" si="109">IF(LEFT(Y13,1)&lt;&gt;"-",LEFT(Y13,1),"N")</f>
        <v/>
      </c>
      <c r="AB13" s="2" t="str">
        <f t="shared" ref="AB13" si="110">IF(LEFT(AA13,1)&lt;&gt;"-",LEFT(AA13,1),"N")</f>
        <v/>
      </c>
    </row>
    <row r="14" spans="1:37" x14ac:dyDescent="0.4">
      <c r="D14" s="2" t="str">
        <f t="shared" si="0"/>
        <v/>
      </c>
      <c r="F14" s="2" t="str">
        <f t="shared" si="0"/>
        <v/>
      </c>
      <c r="H14" s="2" t="str">
        <f t="shared" ref="H14" si="111">IF(LEFT(G14,1)&lt;&gt;"-",LEFT(G14,1),"N")</f>
        <v/>
      </c>
      <c r="J14" s="2" t="str">
        <f t="shared" ref="J14" si="112">IF(LEFT(I14,1)&lt;&gt;"-",LEFT(I14,1),"N")</f>
        <v/>
      </c>
      <c r="L14" s="2" t="str">
        <f t="shared" ref="L14" si="113">IF(LEFT(K14,1)&lt;&gt;"-",LEFT(K14,1),"N")</f>
        <v/>
      </c>
      <c r="N14" s="2" t="str">
        <f t="shared" ref="N14" si="114">IF(LEFT(M14,1)&lt;&gt;"-",LEFT(M14,1),"N")</f>
        <v/>
      </c>
      <c r="P14" s="2" t="str">
        <f t="shared" ref="P14" si="115">IF(LEFT(O14,1)&lt;&gt;"-",LEFT(O14,1),"N")</f>
        <v/>
      </c>
      <c r="R14" s="2" t="str">
        <f t="shared" ref="R14" si="116">IF(LEFT(Q14,1)&lt;&gt;"-",LEFT(Q14,1),"N")</f>
        <v/>
      </c>
      <c r="T14" s="2" t="str">
        <f t="shared" ref="T14" si="117">IF(LEFT(S14,1)&lt;&gt;"-",LEFT(S14,1),"N")</f>
        <v/>
      </c>
      <c r="V14" s="2" t="str">
        <f t="shared" ref="V14" si="118">IF(LEFT(U14,1)&lt;&gt;"-",LEFT(U14,1),"N")</f>
        <v/>
      </c>
      <c r="X14" s="2" t="str">
        <f t="shared" ref="X14" si="119">IF(LEFT(W14,1)&lt;&gt;"-",LEFT(W14,1),"N")</f>
        <v/>
      </c>
      <c r="Z14" s="2" t="str">
        <f t="shared" ref="Z14" si="120">IF(LEFT(Y14,1)&lt;&gt;"-",LEFT(Y14,1),"N")</f>
        <v/>
      </c>
      <c r="AB14" s="2" t="str">
        <f t="shared" ref="AB14" si="121">IF(LEFT(AA14,1)&lt;&gt;"-",LEFT(AA14,1),"N")</f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活動結果入力項目</vt:lpstr>
      <vt:lpstr>マスタ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三島　英崇</dc:creator>
  <cp:keywords/>
  <dc:description/>
  <cp:lastModifiedBy>三島　英崇</cp:lastModifiedBy>
  <cp:revision/>
  <dcterms:created xsi:type="dcterms:W3CDTF">2024-08-08T09:07:06Z</dcterms:created>
  <dcterms:modified xsi:type="dcterms:W3CDTF">2024-09-22T08:43:57Z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2024-08-08T09:07:17Z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9d974004-9a00-42fc-9589-3ba1aae291b6</vt:lpwstr>
  </property>
  <property fmtid="{D5CDD505-2E9C-101B-9397-08002B2CF9AE}" pid="7" name="MSIP_Label_defa4170-0d19-0005-0004-bc88714345d2_ActionId">
    <vt:lpwstr>3caa0e5c-9801-43c4-96cb-48cd7baa0399</vt:lpwstr>
  </property>
  <property fmtid="{D5CDD505-2E9C-101B-9397-08002B2CF9AE}" pid="8" name="MSIP_Label_defa4170-0d19-0005-0004-bc88714345d2_ContentBits">
    <vt:lpwstr>0</vt:lpwstr>
  </property>
</Properties>
</file>